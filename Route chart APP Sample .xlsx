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 defaultThemeVersion="124226"/>
  <xr:revisionPtr revIDLastSave="0" documentId="13_ncr:1_{59024DE7-0D02-BC40-8EF1-64E84883AD34}" xr6:coauthVersionLast="47" xr6:coauthVersionMax="47" xr10:uidLastSave="{00000000-0000-0000-0000-000000000000}"/>
  <bookViews>
    <workbookView xWindow="0" yWindow="0" windowWidth="28800" windowHeight="18000" tabRatio="604" firstSheet="1" activeTab="1" xr2:uid="{00000000-000D-0000-FFFF-FFFF00000000}"/>
  </bookViews>
  <sheets>
    <sheet name="Support" sheetId="25" r:id="rId1"/>
    <sheet name="Year 2025 - 26" sheetId="23" r:id="rId2"/>
    <sheet name="Service Report" sheetId="12" r:id="rId3"/>
    <sheet name="Log Card" sheetId="42" r:id="rId4"/>
  </sheets>
  <definedNames>
    <definedName name="ctype">#REF!</definedName>
    <definedName name="_xlnm.Print_Area" localSheetId="3">'Log Card'!$A$1:$F$70</definedName>
    <definedName name="_xlnm.Print_Area" localSheetId="2">'Service Report'!$A$1:$E$40</definedName>
    <definedName name="_xlnm.Print_Area" localSheetId="1">'Year 2025 - 26'!$A$1:$CB$211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2" i="23" l="1"/>
  <c r="F203" i="23"/>
  <c r="R1" i="23"/>
  <c r="J188" i="23"/>
  <c r="B188" i="23"/>
  <c r="M188" i="23" s="1"/>
  <c r="N188" i="23" l="1"/>
  <c r="I188" i="23"/>
  <c r="K188" i="23" s="1"/>
  <c r="O1" i="23" l="1"/>
  <c r="J191" i="23"/>
  <c r="B191" i="23"/>
  <c r="M191" i="23" s="1"/>
  <c r="J187" i="23"/>
  <c r="B187" i="23"/>
  <c r="M187" i="23" l="1"/>
  <c r="N187" i="23" s="1"/>
  <c r="E1" i="23"/>
  <c r="N191" i="23"/>
  <c r="I191" i="23"/>
  <c r="I187" i="23"/>
  <c r="J182" i="23"/>
  <c r="B182" i="23"/>
  <c r="K187" i="23" l="1"/>
  <c r="M182" i="23"/>
  <c r="N182" i="23" s="1"/>
  <c r="K191" i="23"/>
  <c r="I182" i="23"/>
  <c r="K182" i="23" l="1"/>
  <c r="J195" i="23" l="1"/>
  <c r="B195" i="23"/>
  <c r="M195" i="23" l="1"/>
  <c r="N195" i="23" s="1"/>
  <c r="K195" i="23"/>
  <c r="B190" i="23"/>
  <c r="M190" i="23" s="1"/>
  <c r="J190" i="23"/>
  <c r="U1" i="23"/>
  <c r="N190" i="23" l="1"/>
  <c r="I190" i="23"/>
  <c r="K190" i="23" s="1"/>
  <c r="B189" i="23"/>
  <c r="M189" i="23" s="1"/>
  <c r="J189" i="23"/>
  <c r="N189" i="23" l="1"/>
  <c r="I189" i="23"/>
  <c r="B183" i="23"/>
  <c r="M183" i="23" s="1"/>
  <c r="J183" i="23"/>
  <c r="N183" i="23" l="1"/>
  <c r="K189" i="23"/>
  <c r="I183" i="23"/>
  <c r="K183" i="23" s="1"/>
  <c r="B185" i="23" l="1"/>
  <c r="M185" i="23" s="1"/>
  <c r="J185" i="23"/>
  <c r="N185" i="23" l="1"/>
  <c r="I185" i="23"/>
  <c r="K185" i="23" l="1"/>
  <c r="X1" i="23"/>
  <c r="J184" i="23" l="1"/>
  <c r="B184" i="23"/>
  <c r="M184" i="23" s="1"/>
  <c r="N184" i="23" l="1"/>
  <c r="I184" i="23"/>
  <c r="J193" i="23"/>
  <c r="B193" i="23"/>
  <c r="M193" i="23" l="1"/>
  <c r="N193" i="23" s="1"/>
  <c r="K184" i="23"/>
  <c r="I193" i="23"/>
  <c r="J180" i="23"/>
  <c r="B180" i="23"/>
  <c r="J181" i="23"/>
  <c r="B181" i="23"/>
  <c r="AA1" i="23"/>
  <c r="M180" i="23" l="1"/>
  <c r="M181" i="23"/>
  <c r="N181" i="23" s="1"/>
  <c r="K193" i="23"/>
  <c r="N180" i="23"/>
  <c r="I180" i="23"/>
  <c r="I181" i="23"/>
  <c r="K181" i="23" l="1"/>
  <c r="K180" i="23"/>
  <c r="J179" i="23" l="1"/>
  <c r="B179" i="23"/>
  <c r="M179" i="23" s="1"/>
  <c r="N179" i="23" l="1"/>
  <c r="I179" i="23"/>
  <c r="K179" i="23" l="1"/>
  <c r="AD1" i="23"/>
  <c r="J178" i="23" l="1"/>
  <c r="B178" i="23"/>
  <c r="M178" i="23" s="1"/>
  <c r="N178" i="23" l="1"/>
  <c r="I178" i="23"/>
  <c r="K178" i="23" s="1"/>
  <c r="B192" i="23"/>
  <c r="J174" i="23"/>
  <c r="B174" i="23"/>
  <c r="M174" i="23" s="1"/>
  <c r="N174" i="23" l="1"/>
  <c r="I174" i="23"/>
  <c r="K174" i="23" l="1"/>
  <c r="J163" i="23"/>
  <c r="J143" i="23"/>
  <c r="J51" i="23"/>
  <c r="J52" i="23"/>
  <c r="J194" i="23"/>
  <c r="J27" i="23"/>
  <c r="J20" i="23"/>
  <c r="J100" i="23"/>
  <c r="J152" i="23"/>
  <c r="J122" i="23"/>
  <c r="J44" i="23"/>
  <c r="J4" i="23"/>
  <c r="J130" i="23"/>
  <c r="J95" i="23"/>
  <c r="J96" i="23"/>
  <c r="J92" i="23"/>
  <c r="J14" i="23"/>
  <c r="J176" i="23"/>
  <c r="J89" i="23"/>
  <c r="J104" i="23"/>
  <c r="J59" i="23"/>
  <c r="J113" i="23"/>
  <c r="J131" i="23"/>
  <c r="J164" i="23"/>
  <c r="J134" i="23"/>
  <c r="J135" i="23"/>
  <c r="J136" i="23"/>
  <c r="J137" i="23"/>
  <c r="J138" i="23"/>
  <c r="J132" i="23"/>
  <c r="J133" i="23"/>
  <c r="J139" i="23"/>
  <c r="J140" i="23"/>
  <c r="J141" i="23"/>
  <c r="J8" i="23"/>
  <c r="J111" i="23"/>
  <c r="J142" i="23"/>
  <c r="J12" i="23"/>
  <c r="J13" i="23"/>
  <c r="J110" i="23"/>
  <c r="J22" i="23"/>
  <c r="J169" i="23"/>
  <c r="J172" i="23"/>
  <c r="J23" i="23"/>
  <c r="J54" i="23"/>
  <c r="J105" i="23"/>
  <c r="J128" i="23"/>
  <c r="J24" i="23"/>
  <c r="J60" i="23"/>
  <c r="J25" i="23"/>
  <c r="J124" i="23"/>
  <c r="J123" i="23"/>
  <c r="J116" i="23"/>
  <c r="J115" i="23"/>
  <c r="J114" i="23"/>
  <c r="J120" i="23"/>
  <c r="J121" i="23"/>
  <c r="J119" i="23"/>
  <c r="J117" i="23"/>
  <c r="J118" i="23"/>
  <c r="J72" i="23"/>
  <c r="J186" i="23"/>
  <c r="J158" i="23"/>
  <c r="J101" i="23"/>
  <c r="J26" i="23"/>
  <c r="J28" i="23"/>
  <c r="J29" i="23"/>
  <c r="J159" i="23"/>
  <c r="J171" i="23"/>
  <c r="J58" i="23"/>
  <c r="J102" i="23"/>
  <c r="J94" i="23"/>
  <c r="J5" i="23"/>
  <c r="J50" i="23"/>
  <c r="J62" i="23"/>
  <c r="J177" i="23"/>
  <c r="J75" i="23"/>
  <c r="J88" i="23"/>
  <c r="J90" i="23"/>
  <c r="J91" i="23"/>
  <c r="J15" i="23"/>
  <c r="J61" i="23"/>
  <c r="J165" i="23"/>
  <c r="J106" i="23"/>
  <c r="J151" i="23"/>
  <c r="J36" i="23"/>
  <c r="J63" i="23"/>
  <c r="J168" i="23"/>
  <c r="J82" i="23"/>
  <c r="J55" i="23"/>
  <c r="J35" i="23"/>
  <c r="J103" i="23"/>
  <c r="J41" i="23"/>
  <c r="J42" i="23"/>
  <c r="J43" i="23"/>
  <c r="J16" i="23"/>
  <c r="J67" i="23"/>
  <c r="J47" i="23"/>
  <c r="J48" i="23"/>
  <c r="J70" i="23"/>
  <c r="J84" i="23"/>
  <c r="J85" i="23"/>
  <c r="J86" i="23"/>
  <c r="J149" i="23"/>
  <c r="J145" i="23"/>
  <c r="J9" i="23"/>
  <c r="J10" i="23"/>
  <c r="J80" i="23"/>
  <c r="J93" i="23"/>
  <c r="J107" i="23"/>
  <c r="J170" i="23"/>
  <c r="J148" i="23"/>
  <c r="J33" i="23"/>
  <c r="J112" i="23"/>
  <c r="J146" i="23"/>
  <c r="J157" i="23"/>
  <c r="J99" i="23"/>
  <c r="J166" i="23"/>
  <c r="J66" i="23"/>
  <c r="J34" i="23"/>
  <c r="J126" i="23"/>
  <c r="J3" i="23"/>
  <c r="J30" i="23"/>
  <c r="J97" i="23"/>
  <c r="J57" i="23"/>
  <c r="J38" i="23"/>
  <c r="J147" i="23"/>
  <c r="J153" i="23"/>
  <c r="J83" i="23"/>
  <c r="J175" i="23"/>
  <c r="J144" i="23"/>
  <c r="J125" i="23"/>
  <c r="J81" i="23"/>
  <c r="J156" i="23"/>
  <c r="J6" i="23"/>
  <c r="J98" i="23"/>
  <c r="J37" i="23"/>
  <c r="J45" i="23"/>
  <c r="J76" i="23"/>
  <c r="J53" i="23"/>
  <c r="J127" i="23"/>
  <c r="J19" i="23"/>
  <c r="J71" i="23"/>
  <c r="J69" i="23"/>
  <c r="J79" i="23"/>
  <c r="J160" i="23"/>
  <c r="J129" i="23"/>
  <c r="J108" i="23"/>
  <c r="J78" i="23"/>
  <c r="J74" i="23"/>
  <c r="J109" i="23"/>
  <c r="J167" i="23"/>
  <c r="J150" i="23"/>
  <c r="J56" i="23"/>
  <c r="J87" i="23"/>
  <c r="J77" i="23"/>
  <c r="J65" i="23"/>
  <c r="J161" i="23"/>
  <c r="J64" i="23"/>
  <c r="J73" i="23"/>
  <c r="J68" i="23"/>
  <c r="J49" i="23"/>
  <c r="J31" i="23"/>
  <c r="J32" i="23"/>
  <c r="J18" i="23"/>
  <c r="J46" i="23"/>
  <c r="J7" i="23"/>
  <c r="B176" i="23"/>
  <c r="M176" i="23" s="1"/>
  <c r="N176" i="23" l="1"/>
  <c r="I176" i="23"/>
  <c r="AG1" i="23"/>
  <c r="K176" i="23" l="1"/>
  <c r="B194" i="23"/>
  <c r="I194" i="23" l="1"/>
  <c r="B177" i="23"/>
  <c r="M177" i="23" s="1"/>
  <c r="N177" i="23" l="1"/>
  <c r="K194" i="23"/>
  <c r="I177" i="23"/>
  <c r="B158" i="23"/>
  <c r="M158" i="23" s="1"/>
  <c r="N158" i="23" l="1"/>
  <c r="K177" i="23"/>
  <c r="I158" i="23"/>
  <c r="K158" i="23" l="1"/>
  <c r="B169" i="23" l="1"/>
  <c r="AJ1" i="23"/>
  <c r="M169" i="23" l="1"/>
  <c r="N169" i="23" s="1"/>
  <c r="I169" i="23"/>
  <c r="K169" i="23" l="1"/>
  <c r="AM1" i="23"/>
  <c r="B161" i="23" l="1"/>
  <c r="M161" i="23" s="1"/>
  <c r="N161" i="23" l="1"/>
  <c r="I161" i="23"/>
  <c r="B168" i="23"/>
  <c r="M168" i="23" s="1"/>
  <c r="N168" i="23" l="1"/>
  <c r="K161" i="23"/>
  <c r="I168" i="23"/>
  <c r="AP1" i="23"/>
  <c r="K168" i="23" l="1"/>
  <c r="B130" i="23"/>
  <c r="M130" i="23" s="1"/>
  <c r="N130" i="23" l="1"/>
  <c r="I130" i="23"/>
  <c r="B112" i="23"/>
  <c r="M112" i="23" s="1"/>
  <c r="N112" i="23" l="1"/>
  <c r="K130" i="23"/>
  <c r="I112" i="23"/>
  <c r="K112" i="23" l="1"/>
  <c r="AS1" i="23"/>
  <c r="AV1" i="23" l="1"/>
  <c r="B37" i="23"/>
  <c r="M37" i="23" s="1"/>
  <c r="N37" i="23" l="1"/>
  <c r="I37" i="23"/>
  <c r="K37" i="23" l="1"/>
  <c r="AY1" i="23" l="1"/>
  <c r="B83" i="23" l="1"/>
  <c r="M83" i="23" s="1"/>
  <c r="N83" i="23" l="1"/>
  <c r="K83" i="23"/>
  <c r="B148" i="23"/>
  <c r="B154" i="23"/>
  <c r="I148" i="23" l="1"/>
  <c r="M148" i="23"/>
  <c r="N148" i="23" s="1"/>
  <c r="B119" i="23"/>
  <c r="M119" i="23" s="1"/>
  <c r="K148" i="23" l="1"/>
  <c r="N119" i="23"/>
  <c r="I119" i="23"/>
  <c r="B127" i="23"/>
  <c r="M127" i="23" s="1"/>
  <c r="B107" i="23"/>
  <c r="M107" i="23" s="1"/>
  <c r="N107" i="23" l="1"/>
  <c r="N127" i="23"/>
  <c r="K119" i="23"/>
  <c r="I107" i="23"/>
  <c r="I127" i="23"/>
  <c r="K127" i="23" l="1"/>
  <c r="K107" i="23"/>
  <c r="BB1" i="23"/>
  <c r="B93" i="23" l="1"/>
  <c r="M93" i="23" s="1"/>
  <c r="N93" i="23" l="1"/>
  <c r="I93" i="23"/>
  <c r="BE1" i="23"/>
  <c r="K93" i="23" l="1"/>
  <c r="B34" i="23" l="1"/>
  <c r="M34" i="23" s="1"/>
  <c r="N34" i="23" l="1"/>
  <c r="I34" i="23"/>
  <c r="K34" i="23" l="1"/>
  <c r="B157" i="23"/>
  <c r="M157" i="23" s="1"/>
  <c r="B129" i="23"/>
  <c r="M129" i="23" s="1"/>
  <c r="N129" i="23" l="1"/>
  <c r="I157" i="23"/>
  <c r="N157" i="23"/>
  <c r="B151" i="23"/>
  <c r="M151" i="23" s="1"/>
  <c r="B89" i="23"/>
  <c r="M89" i="23" s="1"/>
  <c r="B197" i="23"/>
  <c r="B196" i="23"/>
  <c r="B72" i="23"/>
  <c r="M72" i="23" l="1"/>
  <c r="N72" i="23" s="1"/>
  <c r="N151" i="23"/>
  <c r="N89" i="23"/>
  <c r="I72" i="23"/>
  <c r="K157" i="23"/>
  <c r="K129" i="23"/>
  <c r="K72" i="23" l="1"/>
  <c r="K89" i="23"/>
  <c r="K151" i="23"/>
  <c r="D203" i="23"/>
  <c r="D202" i="23"/>
  <c r="D204" i="23"/>
  <c r="D205" i="23"/>
  <c r="D206" i="23"/>
  <c r="B150" i="23"/>
  <c r="BH1" i="23"/>
  <c r="M150" i="23" l="1"/>
  <c r="N150" i="23" s="1"/>
  <c r="K150" i="23" l="1"/>
  <c r="BK1" i="23" l="1"/>
  <c r="BN1" i="23" l="1"/>
  <c r="B162" i="23" l="1"/>
  <c r="B143" i="23"/>
  <c r="M143" i="23" l="1"/>
  <c r="N143" i="23" s="1"/>
  <c r="I143" i="23"/>
  <c r="K143" i="23" l="1"/>
  <c r="BQ1" i="23" l="1"/>
  <c r="B146" i="23" l="1"/>
  <c r="M146" i="23" s="1"/>
  <c r="N146" i="23" l="1"/>
  <c r="I146" i="23"/>
  <c r="B77" i="23"/>
  <c r="M77" i="23" s="1"/>
  <c r="N77" i="23" l="1"/>
  <c r="K146" i="23"/>
  <c r="I77" i="23"/>
  <c r="B10" i="23"/>
  <c r="B9" i="23"/>
  <c r="M9" i="23" s="1"/>
  <c r="M10" i="23" l="1"/>
  <c r="N10" i="23" s="1"/>
  <c r="N9" i="23"/>
  <c r="K77" i="23"/>
  <c r="I9" i="23"/>
  <c r="I10" i="23"/>
  <c r="K9" i="23" l="1"/>
  <c r="K10" i="23"/>
  <c r="BT1" i="23" l="1"/>
  <c r="B68" i="23" l="1"/>
  <c r="M68" i="23" s="1"/>
  <c r="N68" i="23" l="1"/>
  <c r="I68" i="23"/>
  <c r="B111" i="23"/>
  <c r="M111" i="23" s="1"/>
  <c r="B105" i="23"/>
  <c r="M105" i="23" s="1"/>
  <c r="B14" i="23"/>
  <c r="M14" i="23" s="1"/>
  <c r="B155" i="23"/>
  <c r="M155" i="23" s="1"/>
  <c r="K68" i="23" l="1"/>
  <c r="N105" i="23"/>
  <c r="N14" i="23"/>
  <c r="N111" i="23"/>
  <c r="I105" i="23"/>
  <c r="I111" i="23"/>
  <c r="I14" i="23"/>
  <c r="BW1" i="23"/>
  <c r="K14" i="23" l="1"/>
  <c r="K111" i="23"/>
  <c r="K105" i="23"/>
  <c r="B99" i="23"/>
  <c r="M99" i="23" s="1"/>
  <c r="N99" i="23" l="1"/>
  <c r="I99" i="23"/>
  <c r="K99" i="23" l="1"/>
  <c r="BZ1" i="23"/>
  <c r="B96" i="23" l="1"/>
  <c r="B95" i="23"/>
  <c r="M95" i="23" l="1"/>
  <c r="N95" i="23" s="1"/>
  <c r="M96" i="23"/>
  <c r="N96" i="23" s="1"/>
  <c r="I96" i="23"/>
  <c r="I95" i="23"/>
  <c r="K95" i="23" l="1"/>
  <c r="K96" i="23"/>
  <c r="B109" i="23"/>
  <c r="M109" i="23" s="1"/>
  <c r="N109" i="23" l="1"/>
  <c r="I109" i="23"/>
  <c r="K109" i="23" l="1"/>
  <c r="B164" i="23"/>
  <c r="B21" i="23"/>
  <c r="B117" i="23"/>
  <c r="M117" i="23" s="1"/>
  <c r="B170" i="23"/>
  <c r="B121" i="23"/>
  <c r="M121" i="23" s="1"/>
  <c r="B131" i="23"/>
  <c r="M131" i="23" s="1"/>
  <c r="B73" i="23"/>
  <c r="B108" i="23"/>
  <c r="M108" i="23" s="1"/>
  <c r="B39" i="23"/>
  <c r="B125" i="23"/>
  <c r="B134" i="23"/>
  <c r="M134" i="23" s="1"/>
  <c r="B135" i="23"/>
  <c r="M135" i="23" s="1"/>
  <c r="B136" i="23"/>
  <c r="M136" i="23" s="1"/>
  <c r="B137" i="23"/>
  <c r="M137" i="23" s="1"/>
  <c r="B138" i="23"/>
  <c r="M138" i="23" s="1"/>
  <c r="B132" i="23"/>
  <c r="M132" i="23" s="1"/>
  <c r="B133" i="23"/>
  <c r="M133" i="23" s="1"/>
  <c r="B139" i="23"/>
  <c r="M139" i="23" s="1"/>
  <c r="B140" i="23"/>
  <c r="M140" i="23" s="1"/>
  <c r="B141" i="23"/>
  <c r="M141" i="23" s="1"/>
  <c r="B28" i="23"/>
  <c r="M28" i="23" s="1"/>
  <c r="B29" i="23"/>
  <c r="M29" i="23" s="1"/>
  <c r="B120" i="23"/>
  <c r="M120" i="23" s="1"/>
  <c r="B81" i="23"/>
  <c r="M81" i="23" s="1"/>
  <c r="B90" i="23"/>
  <c r="M90" i="23" s="1"/>
  <c r="B152" i="23"/>
  <c r="M152" i="23" s="1"/>
  <c r="B61" i="23"/>
  <c r="B88" i="23"/>
  <c r="M88" i="23" s="1"/>
  <c r="B110" i="23"/>
  <c r="M110" i="23" s="1"/>
  <c r="B24" i="23"/>
  <c r="B40" i="23"/>
  <c r="B67" i="23"/>
  <c r="M67" i="23" s="1"/>
  <c r="B44" i="23"/>
  <c r="B7" i="23"/>
  <c r="M7" i="23" s="1"/>
  <c r="B156" i="23"/>
  <c r="B104" i="23"/>
  <c r="M104" i="23" s="1"/>
  <c r="B63" i="23"/>
  <c r="M63" i="23" s="1"/>
  <c r="B26" i="23"/>
  <c r="M26" i="23" s="1"/>
  <c r="B118" i="23"/>
  <c r="M118" i="23" s="1"/>
  <c r="B59" i="23"/>
  <c r="B100" i="23"/>
  <c r="B45" i="23"/>
  <c r="B84" i="23"/>
  <c r="M84" i="23" s="1"/>
  <c r="B85" i="23"/>
  <c r="M85" i="23" s="1"/>
  <c r="B86" i="23"/>
  <c r="M86" i="23" s="1"/>
  <c r="B8" i="23"/>
  <c r="B114" i="23"/>
  <c r="M114" i="23" s="1"/>
  <c r="B98" i="23"/>
  <c r="B103" i="23"/>
  <c r="B76" i="23"/>
  <c r="M76" i="23" s="1"/>
  <c r="B3" i="23"/>
  <c r="M3" i="23" s="1"/>
  <c r="B171" i="23"/>
  <c r="M171" i="23" s="1"/>
  <c r="B65" i="23"/>
  <c r="M65" i="23" s="1"/>
  <c r="B166" i="23"/>
  <c r="B55" i="23"/>
  <c r="M55" i="23" s="1"/>
  <c r="B147" i="23"/>
  <c r="M147" i="23" s="1"/>
  <c r="B41" i="23"/>
  <c r="B30" i="23"/>
  <c r="M30" i="23" s="1"/>
  <c r="B60" i="23"/>
  <c r="B18" i="23"/>
  <c r="B54" i="23"/>
  <c r="M54" i="23" s="1"/>
  <c r="B128" i="23"/>
  <c r="M128" i="23" s="1"/>
  <c r="B145" i="23"/>
  <c r="B173" i="23"/>
  <c r="B19" i="23"/>
  <c r="M19" i="23" s="1"/>
  <c r="B75" i="23"/>
  <c r="M75" i="23" s="1"/>
  <c r="B175" i="23"/>
  <c r="B11" i="23"/>
  <c r="B66" i="23"/>
  <c r="B20" i="23"/>
  <c r="M20" i="23" s="1"/>
  <c r="B167" i="23"/>
  <c r="M167" i="23" s="1"/>
  <c r="B25" i="23"/>
  <c r="M25" i="23" s="1"/>
  <c r="B186" i="23"/>
  <c r="B56" i="23"/>
  <c r="M56" i="23" s="1"/>
  <c r="B42" i="23"/>
  <c r="B43" i="23"/>
  <c r="B57" i="23"/>
  <c r="B92" i="23"/>
  <c r="B6" i="23"/>
  <c r="B50" i="23"/>
  <c r="M50" i="23" s="1"/>
  <c r="B51" i="23"/>
  <c r="M51" i="23" s="1"/>
  <c r="B52" i="23"/>
  <c r="M52" i="23" s="1"/>
  <c r="B12" i="23"/>
  <c r="B13" i="23"/>
  <c r="B149" i="23"/>
  <c r="M149" i="23" s="1"/>
  <c r="B126" i="23"/>
  <c r="M126" i="23" s="1"/>
  <c r="B4" i="23"/>
  <c r="B5" i="23"/>
  <c r="M5" i="23" s="1"/>
  <c r="B102" i="23"/>
  <c r="M102" i="23" s="1"/>
  <c r="B53" i="23"/>
  <c r="B172" i="23"/>
  <c r="M172" i="23" s="1"/>
  <c r="B47" i="23"/>
  <c r="M47" i="23" s="1"/>
  <c r="B48" i="23"/>
  <c r="M48" i="23" s="1"/>
  <c r="B33" i="23"/>
  <c r="B49" i="23"/>
  <c r="B159" i="23"/>
  <c r="B69" i="23"/>
  <c r="M69" i="23" s="1"/>
  <c r="B70" i="23"/>
  <c r="M70" i="23" s="1"/>
  <c r="B94" i="23"/>
  <c r="M94" i="23" s="1"/>
  <c r="B153" i="23"/>
  <c r="M153" i="23" s="1"/>
  <c r="B27" i="23"/>
  <c r="M27" i="23" s="1"/>
  <c r="B79" i="23"/>
  <c r="M79" i="23" s="1"/>
  <c r="B31" i="23"/>
  <c r="M31" i="23" s="1"/>
  <c r="B32" i="23"/>
  <c r="M32" i="23" s="1"/>
  <c r="B78" i="23"/>
  <c r="B87" i="23"/>
  <c r="M87" i="23" s="1"/>
  <c r="B64" i="23"/>
  <c r="M64" i="23" s="1"/>
  <c r="B163" i="23"/>
  <c r="M163" i="23" s="1"/>
  <c r="B97" i="23"/>
  <c r="M97" i="23" s="1"/>
  <c r="B82" i="23"/>
  <c r="B144" i="23"/>
  <c r="M144" i="23" s="1"/>
  <c r="B123" i="23"/>
  <c r="M123" i="23" s="1"/>
  <c r="B124" i="23"/>
  <c r="B16" i="23"/>
  <c r="M16" i="23" s="1"/>
  <c r="B46" i="23"/>
  <c r="M46" i="23" s="1"/>
  <c r="B142" i="23"/>
  <c r="M142" i="23" s="1"/>
  <c r="B122" i="23"/>
  <c r="M122" i="23" s="1"/>
  <c r="B74" i="23"/>
  <c r="B58" i="23"/>
  <c r="M58" i="23" s="1"/>
  <c r="B71" i="23"/>
  <c r="M71" i="23" s="1"/>
  <c r="B23" i="23"/>
  <c r="M23" i="23" s="1"/>
  <c r="B38" i="23"/>
  <c r="M38" i="23" s="1"/>
  <c r="B106" i="23"/>
  <c r="M106" i="23" s="1"/>
  <c r="B91" i="23"/>
  <c r="M91" i="23" s="1"/>
  <c r="B22" i="23"/>
  <c r="M22" i="23" s="1"/>
  <c r="B160" i="23"/>
  <c r="M160" i="23" s="1"/>
  <c r="B116" i="23"/>
  <c r="M116" i="23" s="1"/>
  <c r="B113" i="23"/>
  <c r="M113" i="23" s="1"/>
  <c r="B36" i="23"/>
  <c r="M36" i="23" s="1"/>
  <c r="B35" i="23"/>
  <c r="M35" i="23" s="1"/>
  <c r="B15" i="23"/>
  <c r="M15" i="23" s="1"/>
  <c r="B80" i="23"/>
  <c r="M80" i="23" s="1"/>
  <c r="B101" i="23"/>
  <c r="M101" i="23" s="1"/>
  <c r="B165" i="23"/>
  <c r="M165" i="23" s="1"/>
  <c r="B17" i="23"/>
  <c r="M17" i="23" s="1"/>
  <c r="B115" i="23"/>
  <c r="M115" i="23" s="1"/>
  <c r="M13" i="23" l="1"/>
  <c r="M43" i="23"/>
  <c r="N43" i="23" s="1"/>
  <c r="M18" i="23"/>
  <c r="N18" i="23" s="1"/>
  <c r="M49" i="23"/>
  <c r="N49" i="23" s="1"/>
  <c r="M4" i="23"/>
  <c r="N4" i="23" s="1"/>
  <c r="M6" i="23"/>
  <c r="N6" i="23" s="1"/>
  <c r="M145" i="23"/>
  <c r="N145" i="23" s="1"/>
  <c r="M73" i="23"/>
  <c r="N73" i="23" s="1"/>
  <c r="M24" i="23"/>
  <c r="M74" i="23"/>
  <c r="M82" i="23"/>
  <c r="N82" i="23" s="1"/>
  <c r="M33" i="23"/>
  <c r="N33" i="23" s="1"/>
  <c r="M92" i="23"/>
  <c r="M166" i="23"/>
  <c r="N166" i="23" s="1"/>
  <c r="M8" i="23"/>
  <c r="N8" i="23" s="1"/>
  <c r="M57" i="23"/>
  <c r="N57" i="23" s="1"/>
  <c r="M66" i="23"/>
  <c r="M170" i="23"/>
  <c r="M156" i="23"/>
  <c r="N156" i="23" s="1"/>
  <c r="M61" i="23"/>
  <c r="N61" i="23" s="1"/>
  <c r="M12" i="23"/>
  <c r="N12" i="23" s="1"/>
  <c r="M42" i="23"/>
  <c r="N42" i="23" s="1"/>
  <c r="M175" i="23"/>
  <c r="N175" i="23" s="1"/>
  <c r="M60" i="23"/>
  <c r="N60" i="23" s="1"/>
  <c r="M53" i="23"/>
  <c r="M45" i="23"/>
  <c r="M125" i="23"/>
  <c r="N125" i="23" s="1"/>
  <c r="M124" i="23"/>
  <c r="N124" i="23" s="1"/>
  <c r="M78" i="23"/>
  <c r="N78" i="23" s="1"/>
  <c r="M186" i="23"/>
  <c r="N186" i="23" s="1"/>
  <c r="M41" i="23"/>
  <c r="N41" i="23" s="1"/>
  <c r="M103" i="23"/>
  <c r="N103" i="23" s="1"/>
  <c r="M164" i="23"/>
  <c r="M100" i="23"/>
  <c r="N100" i="23" s="1"/>
  <c r="M44" i="23"/>
  <c r="N44" i="23" s="1"/>
  <c r="M159" i="23"/>
  <c r="N159" i="23" s="1"/>
  <c r="M98" i="23"/>
  <c r="N98" i="23" s="1"/>
  <c r="M59" i="23"/>
  <c r="N59" i="23" s="1"/>
  <c r="N128" i="23"/>
  <c r="N55" i="23"/>
  <c r="N58" i="23"/>
  <c r="N54" i="23"/>
  <c r="N32" i="23"/>
  <c r="N31" i="23"/>
  <c r="N48" i="23"/>
  <c r="N47" i="23"/>
  <c r="N7" i="23"/>
  <c r="N171" i="23"/>
  <c r="N65" i="23"/>
  <c r="N142" i="23"/>
  <c r="N163" i="23"/>
  <c r="I66" i="23"/>
  <c r="N70" i="23"/>
  <c r="N172" i="23"/>
  <c r="N160" i="23"/>
  <c r="N64" i="23"/>
  <c r="N75" i="23"/>
  <c r="N86" i="23"/>
  <c r="N85" i="23"/>
  <c r="N84" i="23"/>
  <c r="N36" i="23"/>
  <c r="N22" i="23"/>
  <c r="N35" i="23"/>
  <c r="N38" i="23"/>
  <c r="N26" i="23"/>
  <c r="N80" i="23"/>
  <c r="N71" i="23"/>
  <c r="N16" i="23"/>
  <c r="N92" i="23"/>
  <c r="N24" i="23"/>
  <c r="N27" i="23"/>
  <c r="N91" i="23"/>
  <c r="N5" i="23"/>
  <c r="N30" i="23"/>
  <c r="N88" i="23"/>
  <c r="N90" i="23"/>
  <c r="N25" i="23"/>
  <c r="N45" i="23"/>
  <c r="N15" i="23"/>
  <c r="N52" i="23"/>
  <c r="N29" i="23"/>
  <c r="N28" i="23"/>
  <c r="N56" i="23"/>
  <c r="N23" i="23"/>
  <c r="N51" i="23"/>
  <c r="N94" i="23"/>
  <c r="N76" i="23"/>
  <c r="N104" i="23"/>
  <c r="N87" i="23"/>
  <c r="N74" i="23"/>
  <c r="N113" i="23"/>
  <c r="N79" i="23"/>
  <c r="N115" i="23"/>
  <c r="N102" i="23"/>
  <c r="N114" i="23"/>
  <c r="N117" i="23"/>
  <c r="N50" i="23"/>
  <c r="N152" i="23"/>
  <c r="N116" i="23"/>
  <c r="N126" i="23"/>
  <c r="N46" i="23"/>
  <c r="N19" i="23"/>
  <c r="N69" i="23"/>
  <c r="N3" i="23"/>
  <c r="N122" i="23"/>
  <c r="N144" i="23"/>
  <c r="N131" i="23"/>
  <c r="N123" i="23"/>
  <c r="N118" i="23"/>
  <c r="N121" i="23"/>
  <c r="N120" i="23"/>
  <c r="N106" i="23"/>
  <c r="I79" i="23"/>
  <c r="N67" i="23"/>
  <c r="I152" i="23"/>
  <c r="I110" i="23"/>
  <c r="I8" i="23"/>
  <c r="I61" i="23"/>
  <c r="I56" i="23"/>
  <c r="N20" i="23"/>
  <c r="N140" i="23"/>
  <c r="N139" i="23"/>
  <c r="N141" i="23"/>
  <c r="N132" i="23"/>
  <c r="N133" i="23"/>
  <c r="N165" i="23"/>
  <c r="N138" i="23"/>
  <c r="N136" i="23"/>
  <c r="N137" i="23"/>
  <c r="N135" i="23"/>
  <c r="N134" i="23"/>
  <c r="I4" i="23"/>
  <c r="N53" i="23"/>
  <c r="N63" i="23"/>
  <c r="N170" i="23"/>
  <c r="N110" i="23"/>
  <c r="N97" i="23"/>
  <c r="N149" i="23"/>
  <c r="N147" i="23"/>
  <c r="N13" i="23"/>
  <c r="I71" i="23"/>
  <c r="K71" i="23" s="1"/>
  <c r="I69" i="23"/>
  <c r="I3" i="23"/>
  <c r="I121" i="23"/>
  <c r="I116" i="23"/>
  <c r="I114" i="23"/>
  <c r="I118" i="23"/>
  <c r="I120" i="23"/>
  <c r="I117" i="23"/>
  <c r="I81" i="23"/>
  <c r="I92" i="23"/>
  <c r="I149" i="23"/>
  <c r="I22" i="23"/>
  <c r="K22" i="23" s="1"/>
  <c r="N164" i="23"/>
  <c r="I78" i="23"/>
  <c r="I104" i="23"/>
  <c r="N101" i="23"/>
  <c r="N108" i="23"/>
  <c r="I30" i="23"/>
  <c r="I80" i="23"/>
  <c r="I16" i="23"/>
  <c r="N153" i="23"/>
  <c r="I33" i="23"/>
  <c r="I186" i="23"/>
  <c r="I19" i="23"/>
  <c r="I38" i="23"/>
  <c r="N167" i="23"/>
  <c r="N81" i="23"/>
  <c r="I64" i="23"/>
  <c r="I159" i="23"/>
  <c r="I57" i="23"/>
  <c r="I45" i="23"/>
  <c r="I26" i="23"/>
  <c r="I88" i="23"/>
  <c r="I27" i="23"/>
  <c r="I164" i="23"/>
  <c r="I41" i="23"/>
  <c r="I43" i="23"/>
  <c r="I42" i="23"/>
  <c r="I108" i="23"/>
  <c r="N66" i="23"/>
  <c r="I60" i="23"/>
  <c r="I163" i="23"/>
  <c r="I24" i="23"/>
  <c r="I134" i="23"/>
  <c r="I141" i="23"/>
  <c r="I132" i="23"/>
  <c r="I135" i="23"/>
  <c r="I140" i="23"/>
  <c r="I139" i="23"/>
  <c r="I133" i="23"/>
  <c r="I136" i="23"/>
  <c r="I138" i="23"/>
  <c r="I137" i="23"/>
  <c r="I63" i="23"/>
  <c r="I101" i="23"/>
  <c r="I65" i="23"/>
  <c r="I73" i="23"/>
  <c r="I67" i="23"/>
  <c r="I172" i="23"/>
  <c r="I36" i="23"/>
  <c r="K36" i="23" s="1"/>
  <c r="I165" i="23"/>
  <c r="I145" i="23"/>
  <c r="I167" i="23"/>
  <c r="I170" i="23"/>
  <c r="I75" i="23"/>
  <c r="I86" i="23"/>
  <c r="I85" i="23"/>
  <c r="I84" i="23"/>
  <c r="I35" i="23"/>
  <c r="K35" i="23" s="1"/>
  <c r="I91" i="23"/>
  <c r="I15" i="23"/>
  <c r="I156" i="23"/>
  <c r="I76" i="23"/>
  <c r="I90" i="23"/>
  <c r="I25" i="23"/>
  <c r="I74" i="23"/>
  <c r="I53" i="23"/>
  <c r="I59" i="23"/>
  <c r="I29" i="23"/>
  <c r="I28" i="23"/>
  <c r="I50" i="23"/>
  <c r="I82" i="23"/>
  <c r="I52" i="23"/>
  <c r="I131" i="23"/>
  <c r="I102" i="23"/>
  <c r="I51" i="23"/>
  <c r="I100" i="23"/>
  <c r="I103" i="23"/>
  <c r="I144" i="23"/>
  <c r="I94" i="23"/>
  <c r="I87" i="23"/>
  <c r="I113" i="23"/>
  <c r="I124" i="23"/>
  <c r="I123" i="23"/>
  <c r="I5" i="23"/>
  <c r="I13" i="23"/>
  <c r="I12" i="23"/>
  <c r="I46" i="23"/>
  <c r="I97" i="23"/>
  <c r="I115" i="23"/>
  <c r="I147" i="23"/>
  <c r="I44" i="23"/>
  <c r="I23" i="23"/>
  <c r="I126" i="23"/>
  <c r="I6" i="23"/>
  <c r="I142" i="23"/>
  <c r="I166" i="23"/>
  <c r="I160" i="23"/>
  <c r="I70" i="23"/>
  <c r="K186" i="23" l="1"/>
  <c r="K164" i="23"/>
  <c r="K4" i="23"/>
  <c r="K19" i="23"/>
  <c r="K118" i="23"/>
  <c r="K78" i="23"/>
  <c r="K92" i="23"/>
  <c r="K159" i="23"/>
  <c r="K47" i="23"/>
  <c r="K38" i="23"/>
  <c r="K48" i="23"/>
  <c r="K20" i="23"/>
  <c r="K145" i="23"/>
  <c r="K27" i="23"/>
  <c r="K60" i="23"/>
  <c r="K26" i="23"/>
  <c r="K175" i="23"/>
  <c r="K101" i="23"/>
  <c r="K98" i="23"/>
  <c r="K25" i="23"/>
  <c r="K57" i="23"/>
  <c r="K45" i="23"/>
  <c r="K97" i="23"/>
  <c r="K5" i="23"/>
  <c r="K88" i="23"/>
  <c r="K33" i="23"/>
  <c r="K42" i="23"/>
  <c r="K43" i="23"/>
  <c r="K41" i="23"/>
  <c r="K142" i="23"/>
  <c r="K6" i="23"/>
  <c r="K44" i="23"/>
  <c r="K147" i="23"/>
  <c r="K13" i="23"/>
  <c r="K124" i="23"/>
  <c r="K144" i="23"/>
  <c r="K51" i="23"/>
  <c r="K153" i="23"/>
  <c r="K104" i="23"/>
  <c r="K53" i="23"/>
  <c r="K171" i="23"/>
  <c r="K138" i="23"/>
  <c r="K141" i="23"/>
  <c r="K113" i="23"/>
  <c r="K69" i="23"/>
  <c r="K102" i="23"/>
  <c r="K52" i="23"/>
  <c r="K32" i="23"/>
  <c r="K110" i="23"/>
  <c r="K8" i="23"/>
  <c r="K84" i="23"/>
  <c r="K75" i="23"/>
  <c r="K172" i="23"/>
  <c r="K140" i="23"/>
  <c r="K134" i="23"/>
  <c r="K116" i="23"/>
  <c r="K12" i="23"/>
  <c r="K117" i="23"/>
  <c r="K94" i="23"/>
  <c r="K3" i="23"/>
  <c r="K100" i="23"/>
  <c r="K125" i="23"/>
  <c r="K82" i="23"/>
  <c r="K31" i="23"/>
  <c r="K29" i="23"/>
  <c r="K61" i="23"/>
  <c r="K149" i="23"/>
  <c r="K86" i="23"/>
  <c r="K170" i="23"/>
  <c r="K165" i="23"/>
  <c r="K137" i="23"/>
  <c r="K133" i="23"/>
  <c r="K132" i="23"/>
  <c r="K108" i="23"/>
  <c r="K160" i="23"/>
  <c r="K23" i="23"/>
  <c r="K7" i="23"/>
  <c r="K122" i="23"/>
  <c r="K121" i="23"/>
  <c r="K152" i="23"/>
  <c r="K55" i="23"/>
  <c r="K64" i="23"/>
  <c r="K139" i="23"/>
  <c r="K106" i="23"/>
  <c r="K128" i="23"/>
  <c r="K114" i="23"/>
  <c r="K50" i="23"/>
  <c r="K15" i="23"/>
  <c r="K167" i="23"/>
  <c r="K166" i="23"/>
  <c r="K126" i="23"/>
  <c r="K49" i="23"/>
  <c r="K115" i="23"/>
  <c r="K46" i="23"/>
  <c r="K123" i="23"/>
  <c r="K87" i="23"/>
  <c r="K120" i="23"/>
  <c r="K103" i="23"/>
  <c r="K131" i="23"/>
  <c r="K79" i="23"/>
  <c r="K18" i="23"/>
  <c r="K28" i="23"/>
  <c r="K58" i="23"/>
  <c r="K16" i="23"/>
  <c r="K85" i="23"/>
  <c r="K67" i="23"/>
  <c r="K63" i="23"/>
  <c r="K136" i="23"/>
  <c r="K135" i="23"/>
  <c r="K24" i="23"/>
  <c r="K70" i="23"/>
  <c r="K76" i="23"/>
  <c r="K54" i="23"/>
  <c r="K81" i="23"/>
  <c r="K65" i="23"/>
  <c r="K30" i="23"/>
  <c r="K163" i="23"/>
  <c r="K74" i="23"/>
  <c r="K156" i="23"/>
  <c r="K91" i="23"/>
  <c r="K66" i="23"/>
  <c r="K80" i="23"/>
  <c r="K73" i="23"/>
  <c r="K59" i="23"/>
  <c r="K90" i="23"/>
  <c r="K56" i="23"/>
  <c r="F207" i="23"/>
  <c r="G207" i="23" s="1"/>
  <c r="F208" i="23"/>
  <c r="G208" i="23" s="1"/>
  <c r="F206" i="23"/>
  <c r="G206" i="23" s="1"/>
  <c r="G209" i="23" l="1"/>
  <c r="G210" i="23" s="1"/>
  <c r="B62" i="23" l="1"/>
  <c r="M62" i="23" s="1"/>
  <c r="N62" i="23" l="1"/>
  <c r="C1" i="23" s="1"/>
  <c r="I62" i="23"/>
  <c r="I1" i="23" l="1"/>
  <c r="K62" i="23"/>
  <c r="F205" i="23"/>
  <c r="F204" i="23"/>
  <c r="K1" i="23" l="1"/>
  <c r="J1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Praveen: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Formula:
</t>
        </r>
        <r>
          <rPr>
            <sz val="9"/>
            <color rgb="FF000000"/>
            <rFont val="Tahoma"/>
            <family val="2"/>
          </rPr>
          <t xml:space="preserve">=COUNTIF(M3:M307,"&lt;1/7/2021")
</t>
        </r>
        <r>
          <rPr>
            <sz val="9"/>
            <color rgb="FF000000"/>
            <rFont val="Tahoma"/>
            <family val="2"/>
          </rPr>
          <t>Note Date in day/month/year format date should be next month first date</t>
        </r>
      </text>
    </comment>
    <comment ref="E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same As current Month Service Count
</t>
        </r>
        <r>
          <rPr>
            <sz val="9"/>
            <color rgb="FF000000"/>
            <rFont val="Tahoma"/>
            <family val="2"/>
          </rPr>
          <t xml:space="preserve">Use Formula 
</t>
        </r>
        <r>
          <rPr>
            <sz val="9"/>
            <color rgb="FF000000"/>
            <rFont val="Tahoma"/>
            <family val="2"/>
          </rPr>
          <t xml:space="preserve">"=Current month Coulumn cell"
</t>
        </r>
        <r>
          <rPr>
            <sz val="9"/>
            <color rgb="FF000000"/>
            <rFont val="Tahoma"/>
            <family val="2"/>
          </rPr>
          <t>Example "=M1"</t>
        </r>
      </text>
    </comment>
    <comment ref="J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Praveen:</t>
        </r>
        <r>
          <rPr>
            <sz val="9"/>
            <color indexed="81"/>
            <rFont val="Tahoma"/>
            <family val="2"/>
          </rPr>
          <t xml:space="preserve">
In formula service start date to be edited manually 
=COUNTIF(M3:CR3,"&gt;=(service Start Date in month/date/year format)")</t>
        </r>
      </text>
    </comment>
    <comment ref="K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Pending Services To be considered for service date if pendingf service is more than 1.0 service days to be reduced
</t>
        </r>
      </text>
    </comment>
    <comment ref="N2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Pending service Is More than 0.0 then in formula -5 days for monthly service and -10 days for bi monthly servicepending 
</t>
        </r>
        <r>
          <rPr>
            <sz val="9"/>
            <color rgb="FF000000"/>
            <rFont val="Tahoma"/>
            <family val="2"/>
          </rPr>
          <t xml:space="preserve">if -1.0 and above then +5 for monthly and +10 for bi monthly </t>
        </r>
      </text>
    </comment>
    <comment ref="D5" authorId="0" shapeId="0" xr:uid="{00000000-0006-0000-0300-00002A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Ard Battery to be Replaced</t>
        </r>
      </text>
    </comment>
    <comment ref="C8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Welcome 2016</t>
        </r>
      </text>
    </comment>
    <comment ref="D14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D15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D17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Warranty provide from Dec 2019 to april 2020</t>
        </r>
      </text>
    </comment>
    <comment ref="D19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praveen follow up 25th june 25</t>
        </r>
      </text>
    </comment>
    <comment ref="D20" authorId="0" shapeId="0" xr:uid="{00000000-0006-0000-0300-00003C000000}">
      <text>
        <r>
          <rPr>
            <b/>
            <sz val="9"/>
            <color rgb="FF000000"/>
            <rFont val="Tahoma"/>
            <family val="2"/>
          </rPr>
          <t xml:space="preserve">OFFICE: 2 month extra service Apr 2022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24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Warranty provide from Dec 2019 to april 2020</t>
        </r>
      </text>
    </comment>
    <comment ref="D31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Suresh:</t>
        </r>
        <r>
          <rPr>
            <sz val="9"/>
            <color indexed="81"/>
            <rFont val="Tahoma"/>
            <family val="2"/>
          </rPr>
          <t xml:space="preserve">
Door belt to be checked </t>
        </r>
      </text>
    </comment>
    <comment ref="D32" authorId="0" shapeId="0" xr:uid="{00000000-0006-0000-0300-000022000000}">
      <text>
        <r>
          <rPr>
            <b/>
            <sz val="9"/>
            <color rgb="FF000000"/>
            <rFont val="Tahoma"/>
            <family val="2"/>
          </rPr>
          <t>Suresh: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ARD to be checked</t>
        </r>
      </text>
    </comment>
    <comment ref="AY35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Controller replaced and run</t>
        </r>
      </text>
    </comment>
    <comment ref="D41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 xml:space="preserve">OFFICE: Adhi Narayanan </t>
        </r>
        <r>
          <rPr>
            <sz val="9"/>
            <color indexed="81"/>
            <rFont val="Tahoma"/>
            <family val="2"/>
          </rPr>
          <t xml:space="preserve">
9486586867</t>
        </r>
      </text>
    </comment>
    <comment ref="D44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D45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D50" authorId="0" shapeId="0" xr:uid="{00000000-0006-0000-0300-000028000000}">
      <text>
        <r>
          <rPr>
            <sz val="9"/>
            <color rgb="FF000000"/>
            <rFont val="Tahoma"/>
            <family val="2"/>
          </rPr>
          <t xml:space="preserve">Ranjith 
</t>
        </r>
        <r>
          <rPr>
            <sz val="9"/>
            <color rgb="FF000000"/>
            <rFont val="Tahoma"/>
            <family val="2"/>
          </rPr>
          <t>Lock replacement Charge</t>
        </r>
      </text>
    </comment>
    <comment ref="D57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Praveen:</t>
        </r>
        <r>
          <rPr>
            <sz val="9"/>
            <color indexed="81"/>
            <rFont val="Tahoma"/>
            <family val="2"/>
          </rPr>
          <t xml:space="preserve">
Amc date changed from feb to may due to  corona  one year added service due to corona perild</t>
        </r>
      </text>
    </comment>
    <comment ref="D59" authorId="0" shapeId="0" xr:uid="{00000000-0006-0000-0300-00001C000000}">
      <text>
        <r>
          <rPr>
            <b/>
            <sz val="9"/>
            <color rgb="FF000000"/>
            <rFont val="Tahoma"/>
            <family val="2"/>
          </rPr>
          <t xml:space="preserve">Author:
</t>
        </r>
      </text>
    </comment>
    <comment ref="C61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Lift 2015</t>
        </r>
      </text>
    </comment>
    <comment ref="D6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Warranty provide from Dec 2019 to april 2020</t>
        </r>
      </text>
    </comment>
    <comment ref="D6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Battery Payment pending 5,000/- ARD working from 17th April,2025</t>
        </r>
      </text>
    </comment>
    <comment ref="C72" authorId="0" shapeId="0" xr:uid="{00000000-0006-0000-0300-00000F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Welcome 2016</t>
        </r>
      </text>
    </comment>
    <comment ref="A74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added 1 month may to june for service delay</t>
        </r>
      </text>
    </comment>
    <comment ref="C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Lift 2015</t>
        </r>
      </text>
    </comment>
    <comment ref="D83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D9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Suresh:</t>
        </r>
        <r>
          <rPr>
            <sz val="9"/>
            <color indexed="81"/>
            <rFont val="Tahoma"/>
            <family val="2"/>
          </rPr>
          <t xml:space="preserve">
ARD Operation to be checked</t>
        </r>
      </text>
    </comment>
    <comment ref="D95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Praveen:</t>
        </r>
        <r>
          <rPr>
            <sz val="9"/>
            <color indexed="81"/>
            <rFont val="Tahoma"/>
            <family val="2"/>
          </rPr>
          <t xml:space="preserve">
Amc date changed from feb to may due to  corona  one year added service due to corona perild</t>
        </r>
      </text>
    </comment>
    <comment ref="D96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Praveen:</t>
        </r>
        <r>
          <rPr>
            <sz val="9"/>
            <color indexed="81"/>
            <rFont val="Tahoma"/>
            <family val="2"/>
          </rPr>
          <t xml:space="preserve">
Amc date changed from feb to may due to  corona  one year added service due to corona perild</t>
        </r>
      </text>
    </comment>
    <comment ref="D100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Suresh: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Gnd floor call butto to be replaced, DO buzzer not working</t>
        </r>
      </text>
    </comment>
    <comment ref="D102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Sakthi: 
1/25/2021
ARD battery to be replaced, water in pit to be removed</t>
        </r>
      </text>
    </comment>
    <comment ref="D104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Door &amp; ARD buzzer</t>
        </r>
      </text>
    </comment>
    <comment ref="D10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Warranty provide from Dec 2019 to april 2020</t>
        </r>
      </text>
    </comment>
    <comment ref="D107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9 Services for year 2022-2023
</t>
        </r>
      </text>
    </comment>
    <comment ref="D110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 xml:space="preserve">OFFICE: MR. Balaji  </t>
        </r>
        <r>
          <rPr>
            <sz val="9"/>
            <color indexed="81"/>
            <rFont val="Tahoma"/>
            <family val="2"/>
          </rPr>
          <t xml:space="preserve">
7904286943 Mr. Jagadhish 9500999366</t>
        </r>
      </text>
    </comment>
    <comment ref="C111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Welcome 2016</t>
        </r>
      </text>
    </comment>
    <comment ref="A113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Welcome:                                           2012 to 2013 2ndreneval</t>
        </r>
      </text>
    </comment>
    <comment ref="D115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Praveen:</t>
        </r>
        <r>
          <rPr>
            <sz val="9"/>
            <color indexed="81"/>
            <rFont val="Tahoma"/>
            <family val="2"/>
          </rPr>
          <t xml:space="preserve">
Amc date changed from feb to may due to  corona </t>
        </r>
      </text>
    </comment>
    <comment ref="D116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Praveen:</t>
        </r>
        <r>
          <rPr>
            <sz val="9"/>
            <color indexed="81"/>
            <rFont val="Tahoma"/>
            <family val="2"/>
          </rPr>
          <t xml:space="preserve">
Amc date changed from feb to may due to  corona </t>
        </r>
      </text>
    </comment>
    <comment ref="D120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OFFICE: AMC Received July 2021 Controller Changed July 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1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OFFICE: AMC Received July 2021 Controller Changed July 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9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Lift 2015</t>
        </r>
      </text>
    </comment>
    <comment ref="D131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Warranty provide from Dec 2019 to april 2020</t>
        </r>
      </text>
    </comment>
    <comment ref="D142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Door Magnet, Led Bulb, 9V battery Mrs Sundarsanam 9884434782 Mr. Govindaraj 93801511010</t>
        </r>
      </text>
    </comment>
    <comment ref="D147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D153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54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Lift 2017</t>
        </r>
      </text>
    </comment>
    <comment ref="C15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Lift 2015</t>
        </r>
      </text>
    </comment>
    <comment ref="BQ16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Serviced VVVF drive replaced </t>
        </r>
      </text>
    </comment>
    <comment ref="D165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Praveen: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Amc date changed from feb to may due to  corona  one year added service due to corona perild</t>
        </r>
      </text>
    </comment>
    <comment ref="C168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Lift 2017</t>
        </r>
      </text>
    </comment>
    <comment ref="D169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 xml:space="preserve">OFFICE: 2 month extra service Apr 2022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6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D18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 xml:space="preserve">OFFICE: 2 month extra service Apr 2022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2" authorId="0" shapeId="0" xr:uid="{00000000-0006-0000-0300-000013000000}">
      <text>
        <r>
          <rPr>
            <b/>
            <sz val="9"/>
            <color rgb="FF000000"/>
            <rFont val="Tahoma"/>
            <family val="2"/>
          </rPr>
          <t xml:space="preserve">OFFICE: 2 month extra service Apr 2022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184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praveen follow up 25th june 25</t>
        </r>
      </text>
    </comment>
    <comment ref="C185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Lift 2015</t>
        </r>
      </text>
    </comment>
    <comment ref="D18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Mr. Sathish 9840633299</t>
        </r>
      </text>
    </comment>
    <comment ref="D188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Service date updated from 1st Sep 2023 to 31st Jan 2024 due to service pending need to completed </t>
        </r>
      </text>
    </comment>
    <comment ref="D194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 xml:space="preserve">OFFICE: 2 month extra service Apr 2022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2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>Welcome:                                           2012 to 2013 2ndreneval</t>
        </r>
      </text>
    </comment>
  </commentList>
</comments>
</file>

<file path=xl/sharedStrings.xml><?xml version="1.0" encoding="utf-8"?>
<sst xmlns="http://schemas.openxmlformats.org/spreadsheetml/2006/main" count="3555" uniqueCount="632">
  <si>
    <t xml:space="preserve">Job No </t>
  </si>
  <si>
    <t xml:space="preserve">Site Name </t>
  </si>
  <si>
    <t>Velacherry</t>
  </si>
  <si>
    <t>Tambaram</t>
  </si>
  <si>
    <t>Royapettah</t>
  </si>
  <si>
    <t>Adyar</t>
  </si>
  <si>
    <t>Alwarpet</t>
  </si>
  <si>
    <t>Nungambakkam</t>
  </si>
  <si>
    <t>T.Nagar</t>
  </si>
  <si>
    <t>Ashoknagar</t>
  </si>
  <si>
    <t>Nandhanam</t>
  </si>
  <si>
    <t>Valasaravakkam</t>
  </si>
  <si>
    <t>Alwarthirunagar</t>
  </si>
  <si>
    <t>Mandaveli</t>
  </si>
  <si>
    <t>Kodambakkam</t>
  </si>
  <si>
    <t>Ayanavaram</t>
  </si>
  <si>
    <t>Service</t>
  </si>
  <si>
    <t>Anna Nagar</t>
  </si>
  <si>
    <t>Saligrammam</t>
  </si>
  <si>
    <t>Vengaivasal</t>
  </si>
  <si>
    <t>Cit Nagar</t>
  </si>
  <si>
    <t>Chitlapakkam</t>
  </si>
  <si>
    <t>Porur</t>
  </si>
  <si>
    <t>Virugambakkam</t>
  </si>
  <si>
    <t>Tiruvanmiyur</t>
  </si>
  <si>
    <t>AshokNagar</t>
  </si>
  <si>
    <t>Royepattah</t>
  </si>
  <si>
    <t>Pallikaranai</t>
  </si>
  <si>
    <t>Pammal</t>
  </si>
  <si>
    <t>Choolaimedu</t>
  </si>
  <si>
    <t>Perumbakkam</t>
  </si>
  <si>
    <t>Ambattur</t>
  </si>
  <si>
    <t>Tiruverkadu</t>
  </si>
  <si>
    <t>Hold</t>
  </si>
  <si>
    <t>Medavakkam</t>
  </si>
  <si>
    <t>Closed</t>
  </si>
  <si>
    <t>Status</t>
  </si>
  <si>
    <t>Active</t>
  </si>
  <si>
    <t>Reneval</t>
  </si>
  <si>
    <t>Route</t>
  </si>
  <si>
    <t>Tentative service date</t>
  </si>
  <si>
    <t>Pallavaram</t>
  </si>
  <si>
    <t>Kerukambakkam</t>
  </si>
  <si>
    <t>Teynampet</t>
  </si>
  <si>
    <t>Kilpauk</t>
  </si>
  <si>
    <t>Puzhithivakkam</t>
  </si>
  <si>
    <t xml:space="preserve">No of Days </t>
  </si>
  <si>
    <t>Padur</t>
  </si>
  <si>
    <t>Parrys</t>
  </si>
  <si>
    <t>Anna Nagar West</t>
  </si>
  <si>
    <t>SRP Tools</t>
  </si>
  <si>
    <t>Madipakkam</t>
  </si>
  <si>
    <t>Area</t>
  </si>
  <si>
    <t>Kilkattalai</t>
  </si>
  <si>
    <t>Job No</t>
  </si>
  <si>
    <t>Sl.No:</t>
  </si>
  <si>
    <t>Date:</t>
  </si>
  <si>
    <t>To</t>
  </si>
  <si>
    <t>Sl. No</t>
  </si>
  <si>
    <t>Preventive Maintenance Check Points</t>
  </si>
  <si>
    <t>Remarks</t>
  </si>
  <si>
    <t>Emergency Alarm working while power off</t>
  </si>
  <si>
    <t>Lift stops in level at all floors</t>
  </si>
  <si>
    <t>Cabin light and Fan working</t>
  </si>
  <si>
    <t>All Push Buttons in COP and LOP Working</t>
  </si>
  <si>
    <t>Oil level in Gear is ok and No unusual noise observed</t>
  </si>
  <si>
    <t>Brake Liner in Good Condition and Brake Operating Normal</t>
  </si>
  <si>
    <t>Main Rope and Sheave are in Good Condition</t>
  </si>
  <si>
    <t>Maintenance Switch/UP/Down Working in Machine room and CarTop</t>
  </si>
  <si>
    <t>All Safety switches Final,OSG,Safety Gear,Pit,etc are Working</t>
  </si>
  <si>
    <t>All Landing Doors and Car door Contacts Working</t>
  </si>
  <si>
    <t>ARD Working and Battery are in Good condition*</t>
  </si>
  <si>
    <t>Door Open Announcer is working (Manual Doors)*</t>
  </si>
  <si>
    <t>Retairing cam is working(Manual Door)*</t>
  </si>
  <si>
    <t>Door sensor working if available(Auto Door)*</t>
  </si>
  <si>
    <t>Machine Room Locked and No unwanted materials in Machine room**</t>
  </si>
  <si>
    <t>No water seepage in Lift Pit and Shaft**</t>
  </si>
  <si>
    <t>Note
If NO Take Necessary action
*  --  Check if available
** -- Inform Customer to take necessary action</t>
  </si>
  <si>
    <t>Work Done</t>
  </si>
  <si>
    <t>Customer Remarks</t>
  </si>
  <si>
    <t>For Client</t>
  </si>
  <si>
    <t>For The Legend Lifts &amp; Services</t>
  </si>
  <si>
    <t>Triplicane</t>
  </si>
  <si>
    <t xml:space="preserve">Please Give a Rating </t>
  </si>
  <si>
    <t>R A Puram</t>
  </si>
  <si>
    <t xml:space="preserve">AMC Status </t>
  </si>
  <si>
    <t>Walajah</t>
  </si>
  <si>
    <t>Completed Services</t>
  </si>
  <si>
    <t>Pending Services</t>
  </si>
  <si>
    <t>Maraimalainagar</t>
  </si>
  <si>
    <t xml:space="preserve">Service Start Date </t>
  </si>
  <si>
    <t>Actual Services
to be done</t>
  </si>
  <si>
    <t>Yearly 
Status</t>
  </si>
  <si>
    <t>Thuraipakkam</t>
  </si>
  <si>
    <r>
      <rPr>
        <b/>
        <sz val="18"/>
        <rFont val="Calibri"/>
        <family val="2"/>
      </rPr>
      <t xml:space="preserve">THE LEGEND LIFTS &amp; SERVICES.
</t>
    </r>
    <r>
      <rPr>
        <b/>
        <sz val="12"/>
        <rFont val="Calibri"/>
        <family val="2"/>
      </rPr>
      <t>No: 40, Gangaiamman Koil Street,
Jafferkhanpet, Chennai – 83.
Contact: 7338830073 / 7338830074.
Email: praveenkumar.legendlifts@gmail.com.                              Service And Quality is our Moto …</t>
    </r>
  </si>
  <si>
    <t>Guindy</t>
  </si>
  <si>
    <t>Points to Follow</t>
  </si>
  <si>
    <t xml:space="preserve">Sort Site Name in A to Z </t>
  </si>
  <si>
    <t xml:space="preserve">Enter Service Done details in Month, Date Format </t>
  </si>
  <si>
    <t>Sort Service Done on this month Oldest to Newest</t>
  </si>
  <si>
    <t>Drag Formula by clicking small + symbol in bottom right corner of Cell Drag upto completed service</t>
  </si>
  <si>
    <t>Royapuram</t>
  </si>
  <si>
    <r>
      <t xml:space="preserve">No of Days Drag Formula </t>
    </r>
    <r>
      <rPr>
        <b/>
        <sz val="11"/>
        <color theme="1"/>
        <rFont val="Calibri"/>
        <family val="2"/>
        <scheme val="minor"/>
      </rPr>
      <t>B3</t>
    </r>
    <r>
      <rPr>
        <sz val="11"/>
        <color theme="1"/>
        <rFont val="Calibri"/>
        <family val="2"/>
        <scheme val="minor"/>
      </rPr>
      <t xml:space="preserve">- Date Cell Example If actual date is in </t>
    </r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Column and Date entered in 3rd row then it will be </t>
    </r>
    <r>
      <rPr>
        <b/>
        <sz val="11"/>
        <color theme="1"/>
        <rFont val="Calibri"/>
        <family val="2"/>
        <scheme val="minor"/>
      </rPr>
      <t>M3</t>
    </r>
  </si>
  <si>
    <t>Ref Date</t>
  </si>
  <si>
    <t>Ekkattuthangal</t>
  </si>
  <si>
    <t>Updated Date</t>
  </si>
  <si>
    <t>Ashok Nagar</t>
  </si>
  <si>
    <t>Manapakkam</t>
  </si>
  <si>
    <t>Santhome</t>
  </si>
  <si>
    <t>Egmore</t>
  </si>
  <si>
    <t>Kattupakkam</t>
  </si>
  <si>
    <t>Route 1</t>
  </si>
  <si>
    <t>Route 2</t>
  </si>
  <si>
    <t>Route 3</t>
  </si>
  <si>
    <t>Route 4</t>
  </si>
  <si>
    <t xml:space="preserve">Sholinganallur </t>
  </si>
  <si>
    <t>Nandanam</t>
  </si>
  <si>
    <t>Kodungaiyur</t>
  </si>
  <si>
    <t>6 Service</t>
  </si>
  <si>
    <t>10 Service</t>
  </si>
  <si>
    <t>9 Service</t>
  </si>
  <si>
    <t>THE LEGEND LIFTS &amp; SERVICES
Chennai, Tamilnadu.
Phone: +91 733 883 0073, +911 733 883 0074
Email: praveenkumar.legendlifts@gmail.com</t>
  </si>
  <si>
    <t>SERVICE LOG CARD</t>
  </si>
  <si>
    <t>Site Name:</t>
  </si>
  <si>
    <t>Area:</t>
  </si>
  <si>
    <t>Remarks/Comments</t>
  </si>
  <si>
    <t>Sign.</t>
  </si>
  <si>
    <t>Date Of 
Visit</t>
  </si>
  <si>
    <t>Nature of 
Work</t>
  </si>
  <si>
    <t>Technician 
Name</t>
  </si>
  <si>
    <t>Sl.
No</t>
  </si>
  <si>
    <t>Total Services / Month</t>
  </si>
  <si>
    <t>Total Services /Year</t>
  </si>
  <si>
    <t>2024 January 
Done by 1</t>
  </si>
  <si>
    <t>2024 January 
Done by 2</t>
  </si>
  <si>
    <t>Mylapore</t>
  </si>
  <si>
    <t>2024 Feburary 
Actual</t>
  </si>
  <si>
    <t>2024 Feburary 
Done by 1</t>
  </si>
  <si>
    <t>2024 Feburary 
Done by 2</t>
  </si>
  <si>
    <t>2024 MAR
Actual</t>
  </si>
  <si>
    <t>2024 MAR 
Done by 1</t>
  </si>
  <si>
    <t>2024 MAR 
Done by 2</t>
  </si>
  <si>
    <t>Valasarawakkam</t>
  </si>
  <si>
    <t>2024 April
Actual</t>
  </si>
  <si>
    <t>2024 April
Done by 1</t>
  </si>
  <si>
    <t>2024 April
Done by 2</t>
  </si>
  <si>
    <t>2024 May
Actual</t>
  </si>
  <si>
    <t>2024 May
Done by 1</t>
  </si>
  <si>
    <t>2024 May
Done by 2</t>
  </si>
  <si>
    <t>2024 June
Actual</t>
  </si>
  <si>
    <t>2024 June
Done by 1</t>
  </si>
  <si>
    <t>2024 June
Done by 2</t>
  </si>
  <si>
    <t>2024 July
Actual</t>
  </si>
  <si>
    <t>2024 July
Done by 1</t>
  </si>
  <si>
    <t>2024 July
Done by 2</t>
  </si>
  <si>
    <t>Ramapuram</t>
  </si>
  <si>
    <t>Adambakkam</t>
  </si>
  <si>
    <t>Jafferkhanpet</t>
  </si>
  <si>
    <t>Uthiramerur</t>
  </si>
  <si>
    <t>Warranty</t>
  </si>
  <si>
    <t>Abhiramapuram</t>
  </si>
  <si>
    <t>2024 August
Actual</t>
  </si>
  <si>
    <t>2024 August
Done by 1</t>
  </si>
  <si>
    <t>2024 August
Done by 2</t>
  </si>
  <si>
    <t>2024 September
Actual</t>
  </si>
  <si>
    <t>2024 September
Done by 1</t>
  </si>
  <si>
    <t>2024 September
Done by 2</t>
  </si>
  <si>
    <t>Padi</t>
  </si>
  <si>
    <t>Perungalathur</t>
  </si>
  <si>
    <t>2024 October
Actual</t>
  </si>
  <si>
    <t>2024 October
Done by 1</t>
  </si>
  <si>
    <t>2024 October
Done by 2</t>
  </si>
  <si>
    <t>Vandalur</t>
  </si>
  <si>
    <t>2024 November
Actual</t>
  </si>
  <si>
    <t>2024 November
Done by 1</t>
  </si>
  <si>
    <t>2024 November
Done by 2</t>
  </si>
  <si>
    <t>2024 December
Done by 1</t>
  </si>
  <si>
    <t>2024 December
Actual</t>
  </si>
  <si>
    <t>2024 December
Done by 2</t>
  </si>
  <si>
    <t>Neelankarai</t>
  </si>
  <si>
    <t>2025 January 
Actual</t>
  </si>
  <si>
    <t>2025 January 
Done by 1</t>
  </si>
  <si>
    <t>2025 January 
Done by 2</t>
  </si>
  <si>
    <t>2024 January 
Actual</t>
  </si>
  <si>
    <t>2025 February 
Actual</t>
  </si>
  <si>
    <t>2025 February
Done by 1</t>
  </si>
  <si>
    <t>2025 February
Done by 2</t>
  </si>
  <si>
    <t>2025 March  
Actual</t>
  </si>
  <si>
    <t>2025 March  
Done by 1</t>
  </si>
  <si>
    <t>2025 March  
Done by 2</t>
  </si>
  <si>
    <t>Veppery</t>
  </si>
  <si>
    <t>Edited on
22-03-2025</t>
  </si>
  <si>
    <t>Anakaputhur</t>
  </si>
  <si>
    <t>2025 April 
Actual</t>
  </si>
  <si>
    <t>2025 April   
Done by 1</t>
  </si>
  <si>
    <t>2025 April   
Done by 2</t>
  </si>
  <si>
    <t>Purasaiwakkam</t>
  </si>
  <si>
    <t>Service End Date</t>
  </si>
  <si>
    <t>2025 May  
Actual</t>
  </si>
  <si>
    <t>2025 May  
Done by 1</t>
  </si>
  <si>
    <t>2025 May  
Done by 2</t>
  </si>
  <si>
    <t>2025 June  
Actual</t>
  </si>
  <si>
    <t>2025 June  
Done by 1</t>
  </si>
  <si>
    <t>2025 June  
Done by 2</t>
  </si>
  <si>
    <t>2025 July  
Actual</t>
  </si>
  <si>
    <t>2025 July   
Done by 1</t>
  </si>
  <si>
    <t>2025 July  
Done by 2</t>
  </si>
  <si>
    <t>Gopalapuram</t>
  </si>
  <si>
    <t>Chromepet</t>
  </si>
  <si>
    <t>2025 August  
Actual</t>
  </si>
  <si>
    <t>2025 August   
Done by 1</t>
  </si>
  <si>
    <t>2025 August  
Done by 2</t>
  </si>
  <si>
    <t>Rajakilpakkam</t>
  </si>
  <si>
    <t>Rajmohan</t>
  </si>
  <si>
    <t>2025 September
Actual</t>
  </si>
  <si>
    <t>2025 September
Done by 1</t>
  </si>
  <si>
    <t>2025 September
Done by 2</t>
  </si>
  <si>
    <t>Sembakkam</t>
  </si>
  <si>
    <t>Completed Services September 2025</t>
  </si>
  <si>
    <t xml:space="preserve">Pending Service Upto October 2025 </t>
  </si>
  <si>
    <t>Proposal</t>
  </si>
  <si>
    <t>2025 October 
Done By 1</t>
  </si>
  <si>
    <t>2025 October 
Done By 2</t>
  </si>
  <si>
    <t>2025 October
Actual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</si>
  <si>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</si>
  <si>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</si>
  <si>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</si>
  <si>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</si>
  <si>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</si>
  <si>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</si>
  <si>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</si>
  <si>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</si>
  <si>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</si>
  <si>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</si>
  <si>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</si>
  <si>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</si>
  <si>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</si>
  <si>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</si>
  <si>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</si>
  <si>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</si>
  <si>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</si>
  <si>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</si>
  <si>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</si>
  <si>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</si>
  <si>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</si>
  <si>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</si>
  <si>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</si>
  <si>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</si>
  <si>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</si>
  <si>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</si>
  <si>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</si>
  <si>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</si>
  <si>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</si>
  <si>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</si>
  <si>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</si>
  <si>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</si>
  <si>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</si>
  <si>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</si>
  <si>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</si>
  <si>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</si>
  <si>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</si>
  <si>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</si>
  <si>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</si>
  <si>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</si>
  <si>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</si>
  <si>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</si>
  <si>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</si>
  <si>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</si>
  <si>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</si>
  <si>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</si>
  <si>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</si>
  <si>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</si>
  <si>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</si>
  <si>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</si>
  <si>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</si>
  <si>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</si>
  <si>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</si>
  <si>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</si>
  <si>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</si>
  <si>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</si>
  <si>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</si>
  <si>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</si>
  <si>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</si>
  <si>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</si>
  <si>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</si>
  <si>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</si>
  <si>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</si>
  <si>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</si>
  <si>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</si>
  <si>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</si>
  <si>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</si>
  <si>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</si>
  <si>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</si>
  <si>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</si>
  <si>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</si>
  <si>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</si>
  <si>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</si>
  <si>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</si>
  <si>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</si>
  <si>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</si>
  <si>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</si>
  <si>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</si>
  <si>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</si>
  <si>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</si>
  <si>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</si>
  <si>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</si>
  <si>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</si>
  <si>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</si>
  <si>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</si>
  <si>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</si>
  <si>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</si>
  <si>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</si>
  <si>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</si>
  <si>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</si>
  <si>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</si>
  <si>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</si>
  <si>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</si>
  <si>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</si>
  <si>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</si>
  <si>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</si>
  <si>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</si>
  <si>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</si>
  <si>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</si>
  <si>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</si>
  <si>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</si>
  <si>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</si>
  <si>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</si>
  <si>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</si>
  <si>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</si>
  <si>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</si>
  <si>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</si>
  <si>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</si>
  <si>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</si>
  <si>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</si>
  <si>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</si>
  <si>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</si>
  <si>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</si>
  <si>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</si>
  <si>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</si>
  <si>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</si>
  <si>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</si>
  <si>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</si>
  <si>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</si>
  <si>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</si>
  <si>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</si>
  <si>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</si>
  <si>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</si>
  <si>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</si>
  <si>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</si>
  <si>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</si>
  <si>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</si>
  <si>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</si>
  <si>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</si>
  <si>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</si>
  <si>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</si>
  <si>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</si>
  <si>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</si>
  <si>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</si>
  <si>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</si>
  <si>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</si>
  <si>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</si>
  <si>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</si>
  <si>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</si>
  <si>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</si>
  <si>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</si>
  <si>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</si>
  <si>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</si>
  <si>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</si>
  <si>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</si>
  <si>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</si>
  <si>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</si>
  <si>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</si>
  <si>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</si>
  <si>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</si>
  <si>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</si>
  <si>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</si>
  <si>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</si>
  <si>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</si>
  <si>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</si>
  <si>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</si>
  <si>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</si>
  <si>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</si>
  <si>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</si>
  <si>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</si>
  <si>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</si>
  <si>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</si>
  <si>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</si>
  <si>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</si>
  <si>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</si>
  <si>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</si>
  <si>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</si>
  <si>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</si>
  <si>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</si>
  <si>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</si>
  <si>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</si>
  <si>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</si>
  <si>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</si>
  <si>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</si>
  <si>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</si>
  <si>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</si>
  <si>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</si>
  <si>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</si>
  <si>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</si>
  <si>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</si>
  <si>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</si>
  <si>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</si>
  <si>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</si>
  <si>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</si>
  <si>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</si>
  <si>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</si>
  <si>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</si>
  <si>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</si>
  <si>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</si>
  <si>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</si>
  <si>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</si>
  <si>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</si>
  <si>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</si>
  <si>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</si>
  <si>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</si>
  <si>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JB 001</t>
  </si>
  <si>
    <t>JB 002</t>
  </si>
  <si>
    <t>JB 003</t>
  </si>
  <si>
    <t>JB 004</t>
  </si>
  <si>
    <t>JB 005</t>
  </si>
  <si>
    <t>JB 006</t>
  </si>
  <si>
    <t>JB 007</t>
  </si>
  <si>
    <t>JB 008</t>
  </si>
  <si>
    <t>JB 009</t>
  </si>
  <si>
    <t>JB 010</t>
  </si>
  <si>
    <t>JB 011</t>
  </si>
  <si>
    <t>JB 012</t>
  </si>
  <si>
    <t>JB 013</t>
  </si>
  <si>
    <t>JB 014</t>
  </si>
  <si>
    <t>JB 015</t>
  </si>
  <si>
    <t>JB 016</t>
  </si>
  <si>
    <t>JB 017</t>
  </si>
  <si>
    <t>JB 018</t>
  </si>
  <si>
    <t>JB 019</t>
  </si>
  <si>
    <t>JB 020</t>
  </si>
  <si>
    <t>JB 021</t>
  </si>
  <si>
    <t>JB 022</t>
  </si>
  <si>
    <t>JB 023</t>
  </si>
  <si>
    <t>JB 024</t>
  </si>
  <si>
    <t>JB 025</t>
  </si>
  <si>
    <t>JB 026</t>
  </si>
  <si>
    <t>JB 027</t>
  </si>
  <si>
    <t>JB 028</t>
  </si>
  <si>
    <t>JB 029</t>
  </si>
  <si>
    <t>JB 030</t>
  </si>
  <si>
    <t>JB 031</t>
  </si>
  <si>
    <t>JB 032</t>
  </si>
  <si>
    <t>JB 033</t>
  </si>
  <si>
    <t>JB 034</t>
  </si>
  <si>
    <t>JB 035</t>
  </si>
  <si>
    <t>JB 036</t>
  </si>
  <si>
    <t>JB 037</t>
  </si>
  <si>
    <t>JB 038</t>
  </si>
  <si>
    <t>JB 039</t>
  </si>
  <si>
    <t>JB 040</t>
  </si>
  <si>
    <t>JB 041</t>
  </si>
  <si>
    <t>JB 042</t>
  </si>
  <si>
    <t>JB 043</t>
  </si>
  <si>
    <t>JB 044</t>
  </si>
  <si>
    <t>JB 045</t>
  </si>
  <si>
    <t>JB 046</t>
  </si>
  <si>
    <t>JB 047</t>
  </si>
  <si>
    <t>JB 048</t>
  </si>
  <si>
    <t>JB 049</t>
  </si>
  <si>
    <t>JB 050</t>
  </si>
  <si>
    <t>JB 051</t>
  </si>
  <si>
    <t>JB 052</t>
  </si>
  <si>
    <t>JB 053</t>
  </si>
  <si>
    <t>JB 054</t>
  </si>
  <si>
    <t>JB 055</t>
  </si>
  <si>
    <t>JB 056</t>
  </si>
  <si>
    <t>JB 057</t>
  </si>
  <si>
    <t>JB 058</t>
  </si>
  <si>
    <t>JB 059</t>
  </si>
  <si>
    <t>JB 060</t>
  </si>
  <si>
    <t>JB 061</t>
  </si>
  <si>
    <t>JB 062</t>
  </si>
  <si>
    <t>JB 063</t>
  </si>
  <si>
    <t>JB 064</t>
  </si>
  <si>
    <t>JB 065</t>
  </si>
  <si>
    <t>JB 066</t>
  </si>
  <si>
    <t>JB 067</t>
  </si>
  <si>
    <t>JB 068</t>
  </si>
  <si>
    <t>JB 069</t>
  </si>
  <si>
    <t>JB 070</t>
  </si>
  <si>
    <t>JB 071</t>
  </si>
  <si>
    <t>JB 072</t>
  </si>
  <si>
    <t>JB 073</t>
  </si>
  <si>
    <t>JB 074</t>
  </si>
  <si>
    <t>JB 075</t>
  </si>
  <si>
    <t>JB 076</t>
  </si>
  <si>
    <t>JB 077</t>
  </si>
  <si>
    <t>JB 078</t>
  </si>
  <si>
    <t>JB 079</t>
  </si>
  <si>
    <t>JB 080</t>
  </si>
  <si>
    <t>JB 081</t>
  </si>
  <si>
    <t>JB 082</t>
  </si>
  <si>
    <t>JB 083</t>
  </si>
  <si>
    <t>JB 084</t>
  </si>
  <si>
    <t>JB 085</t>
  </si>
  <si>
    <t>JB 086</t>
  </si>
  <si>
    <t>JB 087</t>
  </si>
  <si>
    <t>JB 088</t>
  </si>
  <si>
    <t>JB 089</t>
  </si>
  <si>
    <t>JB 090</t>
  </si>
  <si>
    <t>JB 091</t>
  </si>
  <si>
    <t>JB 092</t>
  </si>
  <si>
    <t>JB 093</t>
  </si>
  <si>
    <t>JB 094</t>
  </si>
  <si>
    <t>JB 095</t>
  </si>
  <si>
    <t>JB 096</t>
  </si>
  <si>
    <t>JB 097</t>
  </si>
  <si>
    <t>JB 098</t>
  </si>
  <si>
    <t>JB 099</t>
  </si>
  <si>
    <t>JB 100</t>
  </si>
  <si>
    <t>JB 101</t>
  </si>
  <si>
    <t>JB 102</t>
  </si>
  <si>
    <t>JB 103</t>
  </si>
  <si>
    <t>JB 104</t>
  </si>
  <si>
    <t>JB 105</t>
  </si>
  <si>
    <t>JB 106</t>
  </si>
  <si>
    <t>JB 107</t>
  </si>
  <si>
    <t>JB 108</t>
  </si>
  <si>
    <t>JB 109</t>
  </si>
  <si>
    <t>JB 110</t>
  </si>
  <si>
    <t>JB 111</t>
  </si>
  <si>
    <t>JB 112</t>
  </si>
  <si>
    <t>JB 113</t>
  </si>
  <si>
    <t>JB 114</t>
  </si>
  <si>
    <t>JB 115</t>
  </si>
  <si>
    <t>JB 116</t>
  </si>
  <si>
    <t>JB 117</t>
  </si>
  <si>
    <t>JB 118</t>
  </si>
  <si>
    <t>JB 119</t>
  </si>
  <si>
    <t>JB 120</t>
  </si>
  <si>
    <t>JB 121</t>
  </si>
  <si>
    <t>JB 122</t>
  </si>
  <si>
    <t>JB 123</t>
  </si>
  <si>
    <t>JB 124</t>
  </si>
  <si>
    <t>JB 125</t>
  </si>
  <si>
    <t>JB 126</t>
  </si>
  <si>
    <t>JB 127</t>
  </si>
  <si>
    <t>JB 128</t>
  </si>
  <si>
    <t>JB 129</t>
  </si>
  <si>
    <t>JB 130</t>
  </si>
  <si>
    <t>JB 131</t>
  </si>
  <si>
    <t>JB 132</t>
  </si>
  <si>
    <t>JB 133</t>
  </si>
  <si>
    <t>JB 134</t>
  </si>
  <si>
    <t>JB 135</t>
  </si>
  <si>
    <t>JB 136</t>
  </si>
  <si>
    <t>JB 137</t>
  </si>
  <si>
    <t>JB 138</t>
  </si>
  <si>
    <t>JB 139</t>
  </si>
  <si>
    <t>JB 140</t>
  </si>
  <si>
    <t>JB 141</t>
  </si>
  <si>
    <t>JB 142</t>
  </si>
  <si>
    <t>JB 143</t>
  </si>
  <si>
    <t>JB 144</t>
  </si>
  <si>
    <t>JB 145</t>
  </si>
  <si>
    <t>JB 146</t>
  </si>
  <si>
    <t>JB 147</t>
  </si>
  <si>
    <t>JB 148</t>
  </si>
  <si>
    <t>JB 149</t>
  </si>
  <si>
    <t>JB 150</t>
  </si>
  <si>
    <t>JB 151</t>
  </si>
  <si>
    <t>JB 152</t>
  </si>
  <si>
    <t>JB 153</t>
  </si>
  <si>
    <t>JB 154</t>
  </si>
  <si>
    <t>JB 155</t>
  </si>
  <si>
    <t>JB 156</t>
  </si>
  <si>
    <t>JB 157</t>
  </si>
  <si>
    <t>JB 158</t>
  </si>
  <si>
    <t>JB 159</t>
  </si>
  <si>
    <t>JB 160</t>
  </si>
  <si>
    <t>JB 161</t>
  </si>
  <si>
    <t>JB 162</t>
  </si>
  <si>
    <t>JB 163</t>
  </si>
  <si>
    <t>JB 164</t>
  </si>
  <si>
    <t>JB 165</t>
  </si>
  <si>
    <t>JB 166</t>
  </si>
  <si>
    <t>JB 167</t>
  </si>
  <si>
    <t>JB 168</t>
  </si>
  <si>
    <t>JB 169</t>
  </si>
  <si>
    <t>JB 170</t>
  </si>
  <si>
    <t>JB 171</t>
  </si>
  <si>
    <t>JB 172</t>
  </si>
  <si>
    <t>JB 173</t>
  </si>
  <si>
    <t>JB 174</t>
  </si>
  <si>
    <t>JB 175</t>
  </si>
  <si>
    <t>JB 176</t>
  </si>
  <si>
    <t>JB 177</t>
  </si>
  <si>
    <t>JB 178</t>
  </si>
  <si>
    <t>JB 179</t>
  </si>
  <si>
    <t>JB 180</t>
  </si>
  <si>
    <t>JB 181</t>
  </si>
  <si>
    <t>JB 182</t>
  </si>
  <si>
    <t>JB 183</t>
  </si>
  <si>
    <t>JB 184</t>
  </si>
  <si>
    <t>JB 185</t>
  </si>
  <si>
    <t>JB 186</t>
  </si>
  <si>
    <t>JB 187</t>
  </si>
  <si>
    <t>JB 188</t>
  </si>
  <si>
    <t>JB 189</t>
  </si>
  <si>
    <t>JB 190</t>
  </si>
  <si>
    <t>JB 191</t>
  </si>
  <si>
    <t>JB 192</t>
  </si>
  <si>
    <t>JB 193</t>
  </si>
  <si>
    <t>JB 194</t>
  </si>
  <si>
    <t>JB 195</t>
  </si>
  <si>
    <t>Alandur</t>
  </si>
  <si>
    <t>Technician 1</t>
  </si>
  <si>
    <t>Route 2 - Technician 1</t>
  </si>
  <si>
    <t>Technician 2</t>
  </si>
  <si>
    <t>Technician 3</t>
  </si>
  <si>
    <t>Route 1 - Technician 3</t>
  </si>
  <si>
    <t>Technician 4</t>
  </si>
  <si>
    <t>Technician 5</t>
  </si>
  <si>
    <t>Technician 6</t>
  </si>
  <si>
    <t>Technician 7</t>
  </si>
  <si>
    <t>Technician 8</t>
  </si>
  <si>
    <t>Technician 9</t>
  </si>
  <si>
    <t>Technician 9k</t>
  </si>
  <si>
    <t>Technician 9ck</t>
  </si>
  <si>
    <t>Technician 10</t>
  </si>
  <si>
    <t>Technician 11</t>
  </si>
  <si>
    <t>Technician 12</t>
  </si>
  <si>
    <t>Technician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</si>
</sst>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\-mmm\-yyyy;@"/>
    <numFmt numFmtId="167" formatCode="0.0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11"/>
      <color rgb="FF000000"/>
      <name val="Arial"/>
      <family val="2"/>
    </font>
    <font>
      <b/>
      <i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entury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48"/>
      <name val="Century"/>
      <family val="1"/>
    </font>
    <font>
      <sz val="12"/>
      <name val="Century"/>
      <family val="1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b/>
      <sz val="26"/>
      <name val="Century"/>
      <family val="1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/>
    </border>
    <border>
      <left style="medium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1" fillId="0" borderId="0"/>
    <xf numFmtId="0" fontId="21" fillId="0" borderId="0"/>
    <xf numFmtId="0" fontId="23" fillId="0" borderId="0" applyNumberFormat="0" applyFill="0" applyBorder="0" applyAlignment="0" applyProtection="0">
      <alignment vertical="top"/>
      <protection locked="0"/>
    </xf>
  </cellStyleXfs>
  <cellXfs count="12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8" fillId="0" borderId="10" xfId="0" applyFont="1" applyBorder="1" applyAlignment="1">
      <alignment vertical="top" wrapText="1"/>
    </xf>
    <xf numFmtId="0" fontId="8" fillId="0" borderId="15" xfId="0" applyFont="1" applyBorder="1" applyAlignment="1">
      <alignment vertical="top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0" fillId="0" borderId="10" xfId="0" applyBorder="1"/>
    <xf numFmtId="0" fontId="7" fillId="0" borderId="0" xfId="0" applyFont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0" borderId="12" xfId="0" applyFont="1" applyBorder="1" applyAlignment="1">
      <alignment vertical="top" wrapText="1"/>
    </xf>
    <xf numFmtId="0" fontId="0" fillId="0" borderId="13" xfId="0" applyBorder="1"/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7" xfId="0" applyBorder="1" applyAlignment="1">
      <alignment wrapText="1"/>
    </xf>
    <xf numFmtId="0" fontId="10" fillId="0" borderId="28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9" xfId="0" applyBorder="1" applyAlignment="1">
      <alignment wrapText="1"/>
    </xf>
    <xf numFmtId="0" fontId="10" fillId="0" borderId="28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3" xfId="0" applyBorder="1" applyAlignment="1">
      <alignment wrapText="1"/>
    </xf>
    <xf numFmtId="0" fontId="10" fillId="0" borderId="34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38" xfId="0" applyBorder="1" applyAlignment="1">
      <alignment wrapText="1"/>
    </xf>
    <xf numFmtId="0" fontId="11" fillId="0" borderId="39" xfId="0" applyFont="1" applyBorder="1" applyAlignment="1">
      <alignment vertical="center" wrapText="1"/>
    </xf>
    <xf numFmtId="0" fontId="0" fillId="0" borderId="39" xfId="0" applyBorder="1"/>
    <xf numFmtId="0" fontId="0" fillId="0" borderId="39" xfId="0" applyBorder="1" applyAlignment="1">
      <alignment wrapText="1"/>
    </xf>
    <xf numFmtId="0" fontId="0" fillId="0" borderId="40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1" xfId="0" applyBorder="1"/>
    <xf numFmtId="0" fontId="0" fillId="0" borderId="41" xfId="0" applyBorder="1"/>
    <xf numFmtId="0" fontId="11" fillId="0" borderId="42" xfId="0" applyFont="1" applyBorder="1" applyAlignment="1">
      <alignment vertical="center" wrapText="1"/>
    </xf>
    <xf numFmtId="0" fontId="0" fillId="0" borderId="42" xfId="0" applyBorder="1"/>
    <xf numFmtId="0" fontId="2" fillId="0" borderId="42" xfId="0" applyFont="1" applyBorder="1" applyAlignment="1">
      <alignment wrapText="1"/>
    </xf>
    <xf numFmtId="0" fontId="2" fillId="0" borderId="43" xfId="0" applyFont="1" applyBorder="1" applyAlignment="1">
      <alignment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164" fontId="13" fillId="0" borderId="0" xfId="0" applyNumberFormat="1" applyFont="1"/>
    <xf numFmtId="0" fontId="13" fillId="0" borderId="0" xfId="0" applyFont="1" applyAlignment="1">
      <alignment horizontal="center"/>
    </xf>
    <xf numFmtId="165" fontId="13" fillId="0" borderId="0" xfId="0" applyNumberFormat="1" applyFont="1" applyAlignment="1">
      <alignment horizontal="center" vertical="center"/>
    </xf>
    <xf numFmtId="0" fontId="14" fillId="0" borderId="0" xfId="0" applyFont="1"/>
    <xf numFmtId="1" fontId="15" fillId="0" borderId="0" xfId="0" applyNumberFormat="1" applyFont="1" applyAlignment="1">
      <alignment horizontal="center" vertical="center" wrapText="1"/>
    </xf>
    <xf numFmtId="0" fontId="17" fillId="0" borderId="1" xfId="0" applyFont="1" applyBorder="1"/>
    <xf numFmtId="164" fontId="13" fillId="0" borderId="0" xfId="0" applyNumberFormat="1" applyFont="1" applyAlignment="1">
      <alignment wrapText="1"/>
    </xf>
    <xf numFmtId="1" fontId="19" fillId="0" borderId="0" xfId="0" applyNumberFormat="1" applyFont="1" applyAlignment="1">
      <alignment horizontal="left" vertical="center" wrapText="1"/>
    </xf>
    <xf numFmtId="1" fontId="18" fillId="3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165" fontId="17" fillId="0" borderId="0" xfId="0" applyNumberFormat="1" applyFont="1"/>
    <xf numFmtId="0" fontId="17" fillId="0" borderId="0" xfId="0" applyFont="1"/>
    <xf numFmtId="165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0" fontId="3" fillId="2" borderId="0" xfId="1" applyFill="1" applyBorder="1" applyAlignment="1" applyProtection="1">
      <alignment horizontal="center" vertical="center" wrapText="1"/>
    </xf>
    <xf numFmtId="0" fontId="25" fillId="0" borderId="0" xfId="0" applyFont="1"/>
    <xf numFmtId="0" fontId="17" fillId="5" borderId="44" xfId="0" applyFont="1" applyFill="1" applyBorder="1"/>
    <xf numFmtId="0" fontId="26" fillId="0" borderId="0" xfId="0" applyFont="1"/>
    <xf numFmtId="0" fontId="27" fillId="0" borderId="0" xfId="0" applyFont="1"/>
    <xf numFmtId="1" fontId="28" fillId="0" borderId="0" xfId="0" applyNumberFormat="1" applyFont="1" applyAlignment="1">
      <alignment horizontal="center" vertical="center"/>
    </xf>
    <xf numFmtId="0" fontId="29" fillId="0" borderId="0" xfId="0" applyFont="1"/>
    <xf numFmtId="165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/>
    </xf>
    <xf numFmtId="0" fontId="30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1" fillId="0" borderId="0" xfId="0" applyFont="1"/>
    <xf numFmtId="0" fontId="17" fillId="5" borderId="45" xfId="0" applyFont="1" applyFill="1" applyBorder="1"/>
    <xf numFmtId="165" fontId="32" fillId="0" borderId="0" xfId="0" applyNumberFormat="1" applyFont="1" applyAlignment="1">
      <alignment horizontal="center" vertical="center"/>
    </xf>
    <xf numFmtId="164" fontId="13" fillId="0" borderId="46" xfId="0" applyNumberFormat="1" applyFont="1" applyBorder="1"/>
    <xf numFmtId="164" fontId="13" fillId="5" borderId="46" xfId="0" applyNumberFormat="1" applyFont="1" applyFill="1" applyBorder="1"/>
    <xf numFmtId="0" fontId="14" fillId="0" borderId="0" xfId="0" applyFont="1" applyAlignment="1">
      <alignment horizontal="left"/>
    </xf>
    <xf numFmtId="0" fontId="17" fillId="6" borderId="0" xfId="0" applyFont="1" applyFill="1"/>
    <xf numFmtId="0" fontId="13" fillId="6" borderId="0" xfId="0" applyFont="1" applyFill="1"/>
    <xf numFmtId="0" fontId="17" fillId="4" borderId="0" xfId="0" applyFont="1" applyFill="1"/>
    <xf numFmtId="0" fontId="17" fillId="7" borderId="0" xfId="0" applyFont="1" applyFill="1"/>
    <xf numFmtId="165" fontId="17" fillId="3" borderId="0" xfId="0" applyNumberFormat="1" applyFont="1" applyFill="1" applyAlignment="1">
      <alignment horizontal="center" vertical="center"/>
    </xf>
    <xf numFmtId="165" fontId="33" fillId="0" borderId="0" xfId="0" applyNumberFormat="1" applyFont="1"/>
    <xf numFmtId="165" fontId="33" fillId="0" borderId="0" xfId="0" applyNumberFormat="1" applyFont="1" applyAlignment="1">
      <alignment horizontal="center" vertical="center"/>
    </xf>
    <xf numFmtId="165" fontId="34" fillId="0" borderId="0" xfId="0" applyNumberFormat="1" applyFont="1"/>
    <xf numFmtId="0" fontId="34" fillId="0" borderId="0" xfId="0" applyFont="1"/>
    <xf numFmtId="165" fontId="34" fillId="0" borderId="0" xfId="0" applyNumberFormat="1" applyFont="1" applyAlignment="1">
      <alignment horizontal="center" vertical="center"/>
    </xf>
    <xf numFmtId="167" fontId="34" fillId="0" borderId="0" xfId="0" applyNumberFormat="1" applyFont="1" applyAlignment="1">
      <alignment horizontal="center" vertical="center"/>
    </xf>
    <xf numFmtId="0" fontId="33" fillId="0" borderId="0" xfId="0" applyFont="1"/>
    <xf numFmtId="0" fontId="0" fillId="0" borderId="15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8" fillId="0" borderId="7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8" fillId="0" borderId="14" xfId="0" applyFont="1" applyBorder="1" applyAlignment="1">
      <alignment vertical="top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7" fillId="0" borderId="0" xfId="0" applyFont="1" applyBorder="1"/>
    <xf numFmtId="0" fontId="34" fillId="0" borderId="0" xfId="0" applyFont="1" applyBorder="1"/>
    <xf numFmtId="0" fontId="26" fillId="0" borderId="1" xfId="0" applyFont="1" applyBorder="1"/>
  </cellXfs>
  <cellStyles count="6">
    <cellStyle name="Hyperlink" xfId="1" builtinId="8"/>
    <cellStyle name="Hyperlink 2" xfId="5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2" xr:uid="{00000000-0005-0000-0000-000005000000}"/>
  </cellStyles>
  <dxfs count="1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7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7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7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[$-409]d\-mmm\-yy;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[$-409]d\-m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1101587</xdr:colOff>
      <xdr:row>0</xdr:row>
      <xdr:rowOff>190499</xdr:rowOff>
    </xdr:from>
    <xdr:to>
      <xdr:col>12</xdr:col>
      <xdr:colOff>1333501</xdr:colOff>
      <xdr:row>0</xdr:row>
      <xdr:rowOff>422412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3074512" y="190499"/>
          <a:ext cx="231914" cy="23191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52298" name="AutoShape 74" descr="Elegant flat velachery Service completed sep. month lift running normal.">
          <a:extLst>
            <a:ext uri="{FF2B5EF4-FFF2-40B4-BE49-F238E27FC236}">
              <a16:creationId xmlns:a16="http://schemas.microsoft.com/office/drawing/2014/main" id="{00000000-0008-0000-0300-00004ACC0000}"/>
            </a:ext>
          </a:extLst>
        </xdr:cNvPr>
        <xdr:cNvSpPr>
          <a:spLocks noChangeAspect="1" noChangeArrowheads="1"/>
        </xdr:cNvSpPr>
      </xdr:nvSpPr>
      <xdr:spPr bwMode="auto">
        <a:xfrm>
          <a:off x="6829425" y="8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1466849</xdr:colOff>
      <xdr:row>39</xdr:row>
      <xdr:rowOff>38100</xdr:rowOff>
    </xdr:from>
    <xdr:to>
      <xdr:col>3</xdr:col>
      <xdr:colOff>142874</xdr:colOff>
      <xdr:row>39</xdr:row>
      <xdr:rowOff>171449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591049" y="8677275"/>
          <a:ext cx="142875" cy="133349"/>
        </a:xfrm>
        <a:prstGeom prst="star5">
          <a:avLst/>
        </a:prstGeom>
        <a:noFill/>
        <a:ln w="12700">
          <a:solidFill>
            <a:schemeClr val="tx1">
              <a:alpha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171450</xdr:colOff>
      <xdr:row>39</xdr:row>
      <xdr:rowOff>38100</xdr:rowOff>
    </xdr:from>
    <xdr:to>
      <xdr:col>3</xdr:col>
      <xdr:colOff>314325</xdr:colOff>
      <xdr:row>39</xdr:row>
      <xdr:rowOff>171449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762500" y="8677275"/>
          <a:ext cx="142875" cy="133349"/>
        </a:xfrm>
        <a:prstGeom prst="star5">
          <a:avLst/>
        </a:prstGeom>
        <a:noFill/>
        <a:ln w="12700">
          <a:solidFill>
            <a:schemeClr val="tx1">
              <a:alpha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39</xdr:row>
      <xdr:rowOff>47625</xdr:rowOff>
    </xdr:from>
    <xdr:to>
      <xdr:col>3</xdr:col>
      <xdr:colOff>485775</xdr:colOff>
      <xdr:row>39</xdr:row>
      <xdr:rowOff>180974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4933950" y="8686800"/>
          <a:ext cx="142875" cy="133349"/>
        </a:xfrm>
        <a:prstGeom prst="star5">
          <a:avLst/>
        </a:prstGeom>
        <a:noFill/>
        <a:ln w="12700">
          <a:solidFill>
            <a:schemeClr val="tx1">
              <a:alpha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504825</xdr:colOff>
      <xdr:row>39</xdr:row>
      <xdr:rowOff>38100</xdr:rowOff>
    </xdr:from>
    <xdr:to>
      <xdr:col>3</xdr:col>
      <xdr:colOff>647700</xdr:colOff>
      <xdr:row>39</xdr:row>
      <xdr:rowOff>171449</xdr:rowOff>
    </xdr:to>
    <xdr:sp macro="" textlink="">
      <xdr:nvSpPr>
        <xdr:cNvPr id="6" name="5-Point Sta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095875" y="8677275"/>
          <a:ext cx="142875" cy="133349"/>
        </a:xfrm>
        <a:prstGeom prst="star5">
          <a:avLst/>
        </a:prstGeom>
        <a:noFill/>
        <a:ln w="12700">
          <a:solidFill>
            <a:schemeClr val="tx1">
              <a:alpha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657225</xdr:colOff>
      <xdr:row>39</xdr:row>
      <xdr:rowOff>47625</xdr:rowOff>
    </xdr:from>
    <xdr:to>
      <xdr:col>3</xdr:col>
      <xdr:colOff>800100</xdr:colOff>
      <xdr:row>39</xdr:row>
      <xdr:rowOff>180974</xdr:rowOff>
    </xdr:to>
    <xdr:sp macro="" textlink="">
      <xdr:nvSpPr>
        <xdr:cNvPr id="7" name="5-Point Sta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5248275" y="8686800"/>
          <a:ext cx="142875" cy="133349"/>
        </a:xfrm>
        <a:prstGeom prst="star5">
          <a:avLst/>
        </a:prstGeom>
        <a:noFill/>
        <a:ln w="12700">
          <a:solidFill>
            <a:schemeClr val="tx1">
              <a:alpha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819150</xdr:colOff>
      <xdr:row>0</xdr:row>
      <xdr:rowOff>133350</xdr:rowOff>
    </xdr:from>
    <xdr:to>
      <xdr:col>4</xdr:col>
      <xdr:colOff>773430</xdr:colOff>
      <xdr:row>3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0" y="133350"/>
          <a:ext cx="233553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26" displayName="Table26" ref="A2:CB197" totalsRowShown="0" headerRowDxfId="164" dataDxfId="162" totalsRowDxfId="160" headerRowBorderDxfId="163" tableBorderDxfId="161">
  <autoFilter ref="A2:CB197" xr:uid="{00000000-0009-0000-0100-000005000000}"/>
  <sortState xmlns:xlrd2="http://schemas.microsoft.com/office/spreadsheetml/2017/richdata2" ref="A3:CB197">
    <sortCondition ref="BL2:BL197"/>
  </sortState>
  <tableColumns count="80">
    <tableColumn id="1" xr3:uid="{00000000-0010-0000-0000-000001000000}" name="AMC Status " dataDxfId="159" totalsRowDxfId="158"/>
    <tableColumn id="2" xr3:uid="{00000000-0010-0000-0000-000002000000}" name="Ref Date" dataDxfId="157" totalsRowDxfId="156">
      <calculatedColumnFormula>TODAY()</calculatedColumnFormula>
    </tableColumn>
    <tableColumn id="3" xr3:uid="{00000000-0010-0000-0000-000003000000}" name="Job No " dataDxfId="155" totalsRowDxfId="154"/>
    <tableColumn id="4" xr3:uid="{00000000-0010-0000-0000-000004000000}" name="Site Name " dataDxfId="153" totalsRowDxfId="152"/>
    <tableColumn id="5" xr3:uid="{00000000-0010-0000-0000-000005000000}" name="Area" dataDxfId="151" totalsRowDxfId="150"/>
    <tableColumn id="127" xr3:uid="{00000000-0010-0000-0000-00007F000000}" name="Route" dataDxfId="149" totalsRowDxfId="148"/>
    <tableColumn id="76" xr3:uid="{00000000-0010-0000-0000-00004C000000}" name="Service Start Date " dataDxfId="147" totalsRowDxfId="146"/>
    <tableColumn id="85" xr3:uid="{00000000-0010-0000-0000-000055000000}" name="Service End Date" dataDxfId="145" totalsRowDxfId="144"/>
    <tableColumn id="80" xr3:uid="{00000000-0010-0000-0000-000050000000}" name="Actual Services_x000a_to be done" dataDxfId="143" totalsRowDxfId="142">
      <calculatedColumnFormula>(Table26[[#This Row],[Ref Date]]-Table26[[#This Row],[Service Start Date ]])/60</calculatedColumnFormula>
    </tableColumn>
    <tableColumn id="79" xr3:uid="{00000000-0010-0000-0000-00004F000000}" name="Completed Services" dataDxfId="141" totalsRowDxfId="140">
      <calculatedColumnFormula>COUNTIF(Table26[[#This Row],[2025 October
Actual]:[2024 January 
Done by 2]],"&gt;=" &amp;Table26[[#This Row],[Service Start Date ]])</calculatedColumnFormula>
    </tableColumn>
    <tableColumn id="73" xr3:uid="{00000000-0010-0000-0000-000049000000}" name="Pending Services" dataDxfId="139" totalsRowDxfId="138">
      <calculatedColumnFormula>Table26[[#This Row],[Actual Services
to be done]]-Table26[[#This Row],[Completed Services]]</calculatedColumnFormula>
    </tableColumn>
    <tableColumn id="6" xr3:uid="{00000000-0010-0000-0000-000006000000}" name="Service" dataDxfId="137" totalsRowDxfId="136"/>
    <tableColumn id="7" xr3:uid="{00000000-0010-0000-0000-000007000000}" name="No of Days " dataDxfId="135" totalsRowDxfId="134"/>
    <tableColumn id="8" xr3:uid="{00000000-0010-0000-0000-000008000000}" name="Tentative service date" dataDxfId="133" totalsRowDxfId="132"/>
    <tableColumn id="21" xr3:uid="{00000000-0010-0000-0000-000015000000}" name="2025 October_x000a_Actual" dataDxfId="131" totalsRowDxfId="130"/>
    <tableColumn id="24" xr3:uid="{17D64414-5E39-434B-89DC-93EBD3EC7B3C}" name="2025 October _x000a_Done By 1" dataDxfId="129" totalsRowDxfId="128"/>
    <tableColumn id="25" xr3:uid="{6701618A-C0E4-5645-8FED-B5E9F50B67D0}" name="2025 October _x000a_Done By 2" dataDxfId="127" totalsRowDxfId="126"/>
    <tableColumn id="26" xr3:uid="{D969DE4A-C7FF-C245-854E-C06532545839}" name="2025 September_x000a_Actual" dataDxfId="125" totalsRowDxfId="124"/>
    <tableColumn id="22" xr3:uid="{00000000-0010-0000-0000-000016000000}" name="2025 September_x000a_Done by 1" dataDxfId="123" totalsRowDxfId="122"/>
    <tableColumn id="23" xr3:uid="{00000000-0010-0000-0000-000017000000}" name="2025 September_x000a_Done by 2" dataDxfId="121" totalsRowDxfId="120"/>
    <tableColumn id="18" xr3:uid="{00000000-0010-0000-0000-000012000000}" name="2025 August  _x000a_Actual" dataDxfId="119" totalsRowDxfId="118"/>
    <tableColumn id="19" xr3:uid="{00000000-0010-0000-0000-000013000000}" name="2025 August   _x000a_Done by 1" dataDxfId="117" totalsRowDxfId="116"/>
    <tableColumn id="20" xr3:uid="{00000000-0010-0000-0000-000014000000}" name="2025 August  _x000a_Done by 2" dataDxfId="115" totalsRowDxfId="114"/>
    <tableColumn id="17" xr3:uid="{00000000-0010-0000-0000-000011000000}" name="2025 July  _x000a_Actual" dataDxfId="113" totalsRowDxfId="112"/>
    <tableColumn id="16" xr3:uid="{00000000-0010-0000-0000-000010000000}" name="2025 July   _x000a_Done by 1" dataDxfId="111" totalsRowDxfId="110"/>
    <tableColumn id="15" xr3:uid="{00000000-0010-0000-0000-00000F000000}" name="2025 July  _x000a_Done by 2" dataDxfId="109" totalsRowDxfId="108"/>
    <tableColumn id="12" xr3:uid="{00000000-0010-0000-0000-00000C000000}" name="2025 June  _x000a_Actual" dataDxfId="107" totalsRowDxfId="106"/>
    <tableColumn id="13" xr3:uid="{00000000-0010-0000-0000-00000D000000}" name="2025 June  _x000a_Done by 1" dataDxfId="105" totalsRowDxfId="104"/>
    <tableColumn id="14" xr3:uid="{00000000-0010-0000-0000-00000E000000}" name="2025 June  _x000a_Done by 2" dataDxfId="103" totalsRowDxfId="102"/>
    <tableColumn id="11" xr3:uid="{00000000-0010-0000-0000-00000B000000}" name="2025 May  _x000a_Actual" dataDxfId="101" totalsRowDxfId="100"/>
    <tableColumn id="10" xr3:uid="{00000000-0010-0000-0000-00000A000000}" name="2025 May  _x000a_Done by 1" dataDxfId="99" totalsRowDxfId="98"/>
    <tableColumn id="9" xr3:uid="{00000000-0010-0000-0000-000009000000}" name="2025 May  _x000a_Done by 2" dataDxfId="97" totalsRowDxfId="96"/>
    <tableColumn id="84" xr3:uid="{00000000-0010-0000-0000-000054000000}" name="2025 April _x000a_Actual" dataDxfId="95" totalsRowDxfId="94"/>
    <tableColumn id="83" xr3:uid="{00000000-0010-0000-0000-000053000000}" name="2025 April   _x000a_Done by 1" dataDxfId="93" totalsRowDxfId="92"/>
    <tableColumn id="82" xr3:uid="{00000000-0010-0000-0000-000052000000}" name="2025 April   _x000a_Done by 2" dataDxfId="91" totalsRowDxfId="90"/>
    <tableColumn id="77" xr3:uid="{00000000-0010-0000-0000-00004D000000}" name="2025 March  _x000a_Actual" dataDxfId="89" totalsRowDxfId="88"/>
    <tableColumn id="78" xr3:uid="{00000000-0010-0000-0000-00004E000000}" name="2025 March  _x000a_Done by 1" dataDxfId="87" totalsRowDxfId="86"/>
    <tableColumn id="81" xr3:uid="{00000000-0010-0000-0000-000051000000}" name="2025 March  _x000a_Done by 2" dataDxfId="85" totalsRowDxfId="84"/>
    <tableColumn id="72" xr3:uid="{00000000-0010-0000-0000-000048000000}" name="2025 February _x000a_Actual" dataDxfId="83" totalsRowDxfId="82"/>
    <tableColumn id="74" xr3:uid="{00000000-0010-0000-0000-00004A000000}" name="2025 February_x000a_Done by 1" dataDxfId="81" totalsRowDxfId="80"/>
    <tableColumn id="75" xr3:uid="{00000000-0010-0000-0000-00004B000000}" name="2025 February_x000a_Done by 2" dataDxfId="79" totalsRowDxfId="78"/>
    <tableColumn id="69" xr3:uid="{00000000-0010-0000-0000-000045000000}" name="2025 January _x000a_Actual" dataDxfId="77" totalsRowDxfId="76"/>
    <tableColumn id="70" xr3:uid="{00000000-0010-0000-0000-000046000000}" name="2025 January _x000a_Done by 1" dataDxfId="75" totalsRowDxfId="74"/>
    <tableColumn id="71" xr3:uid="{00000000-0010-0000-0000-000047000000}" name="2025 January _x000a_Done by 2" dataDxfId="73" totalsRowDxfId="72"/>
    <tableColumn id="66" xr3:uid="{00000000-0010-0000-0000-000042000000}" name="2024 December_x000a_Actual" dataDxfId="71" totalsRowDxfId="70"/>
    <tableColumn id="67" xr3:uid="{00000000-0010-0000-0000-000043000000}" name="2024 December_x000a_Done by 1" dataDxfId="69" totalsRowDxfId="68"/>
    <tableColumn id="68" xr3:uid="{00000000-0010-0000-0000-000044000000}" name="2024 December_x000a_Done by 2" dataDxfId="67" totalsRowDxfId="66"/>
    <tableColumn id="63" xr3:uid="{00000000-0010-0000-0000-00003F000000}" name="2024 November_x000a_Actual" dataDxfId="65" totalsRowDxfId="64"/>
    <tableColumn id="64" xr3:uid="{00000000-0010-0000-0000-000040000000}" name="2024 November_x000a_Done by 1" dataDxfId="63" totalsRowDxfId="62"/>
    <tableColumn id="65" xr3:uid="{00000000-0010-0000-0000-000041000000}" name="2024 November_x000a_Done by 2" dataDxfId="61" totalsRowDxfId="60"/>
    <tableColumn id="60" xr3:uid="{00000000-0010-0000-0000-00003C000000}" name="2024 October_x000a_Actual" dataDxfId="59" totalsRowDxfId="58"/>
    <tableColumn id="61" xr3:uid="{00000000-0010-0000-0000-00003D000000}" name="2024 October_x000a_Done by 1" dataDxfId="57" totalsRowDxfId="56"/>
    <tableColumn id="62" xr3:uid="{00000000-0010-0000-0000-00003E000000}" name="2024 October_x000a_Done by 2" dataDxfId="55" totalsRowDxfId="54"/>
    <tableColumn id="59" xr3:uid="{00000000-0010-0000-0000-00003B000000}" name="2024 September_x000a_Actual" dataDxfId="53" totalsRowDxfId="52"/>
    <tableColumn id="58" xr3:uid="{00000000-0010-0000-0000-00003A000000}" name="2024 September_x000a_Done by 1" dataDxfId="51" totalsRowDxfId="50"/>
    <tableColumn id="57" xr3:uid="{00000000-0010-0000-0000-000039000000}" name="2024 September_x000a_Done by 2" dataDxfId="49" totalsRowDxfId="48"/>
    <tableColumn id="56" xr3:uid="{00000000-0010-0000-0000-000038000000}" name="2024 August_x000a_Actual" dataDxfId="47" totalsRowDxfId="46"/>
    <tableColumn id="55" xr3:uid="{00000000-0010-0000-0000-000037000000}" name="2024 August_x000a_Done by 1" dataDxfId="45" totalsRowDxfId="44"/>
    <tableColumn id="54" xr3:uid="{00000000-0010-0000-0000-000036000000}" name="2024 August_x000a_Done by 2" dataDxfId="43" totalsRowDxfId="42"/>
    <tableColumn id="53" xr3:uid="{00000000-0010-0000-0000-000035000000}" name="2024 July_x000a_Actual" dataDxfId="41" totalsRowDxfId="40"/>
    <tableColumn id="52" xr3:uid="{00000000-0010-0000-0000-000034000000}" name="2024 July_x000a_Done by 1" dataDxfId="39" totalsRowDxfId="38"/>
    <tableColumn id="51" xr3:uid="{00000000-0010-0000-0000-000033000000}" name="2024 July_x000a_Done by 2" dataDxfId="37" totalsRowDxfId="36"/>
    <tableColumn id="50" xr3:uid="{00000000-0010-0000-0000-000032000000}" name="2024 June_x000a_Actual" dataDxfId="35" totalsRowDxfId="34"/>
    <tableColumn id="49" xr3:uid="{00000000-0010-0000-0000-000031000000}" name="2024 June_x000a_Done by 1" dataDxfId="33" totalsRowDxfId="32"/>
    <tableColumn id="48" xr3:uid="{00000000-0010-0000-0000-000030000000}" name="2024 June_x000a_Done by 2" dataDxfId="31" totalsRowDxfId="30"/>
    <tableColumn id="47" xr3:uid="{00000000-0010-0000-0000-00002F000000}" name="2024 May_x000a_Actual" dataDxfId="29" totalsRowDxfId="28"/>
    <tableColumn id="46" xr3:uid="{00000000-0010-0000-0000-00002E000000}" name="2024 May_x000a_Done by 1" dataDxfId="27" totalsRowDxfId="26"/>
    <tableColumn id="45" xr3:uid="{00000000-0010-0000-0000-00002D000000}" name="2024 May_x000a_Done by 2" dataDxfId="25" totalsRowDxfId="24"/>
    <tableColumn id="42" xr3:uid="{00000000-0010-0000-0000-00002A000000}" name="2024 April_x000a_Actual" dataDxfId="23" totalsRowDxfId="22"/>
    <tableColumn id="43" xr3:uid="{00000000-0010-0000-0000-00002B000000}" name="2024 April_x000a_Done by 1" dataDxfId="21" totalsRowDxfId="20"/>
    <tableColumn id="44" xr3:uid="{00000000-0010-0000-0000-00002C000000}" name="2024 April_x000a_Done by 2" dataDxfId="19" totalsRowDxfId="18"/>
    <tableColumn id="39" xr3:uid="{00000000-0010-0000-0000-000027000000}" name="2024 MAR_x000a_Actual" dataDxfId="17" totalsRowDxfId="16"/>
    <tableColumn id="40" xr3:uid="{00000000-0010-0000-0000-000028000000}" name="2024 MAR _x000a_Done by 1" dataDxfId="15" totalsRowDxfId="14"/>
    <tableColumn id="41" xr3:uid="{00000000-0010-0000-0000-000029000000}" name="2024 MAR _x000a_Done by 2" dataDxfId="13" totalsRowDxfId="12"/>
    <tableColumn id="38" xr3:uid="{00000000-0010-0000-0000-000026000000}" name="2024 Feburary _x000a_Actual" dataDxfId="11" totalsRowDxfId="10"/>
    <tableColumn id="37" xr3:uid="{00000000-0010-0000-0000-000025000000}" name="2024 Feburary _x000a_Done by 1" dataDxfId="9" totalsRowDxfId="8"/>
    <tableColumn id="36" xr3:uid="{00000000-0010-0000-0000-000024000000}" name="2024 Feburary _x000a_Done by 2" dataDxfId="7" totalsRowDxfId="6"/>
    <tableColumn id="35" xr3:uid="{00000000-0010-0000-0000-000023000000}" name="2024 January _x000a_Actual" dataDxfId="5" totalsRowDxfId="4"/>
    <tableColumn id="34" xr3:uid="{00000000-0010-0000-0000-000022000000}" name="2024 January _x000a_Done by 1" dataDxfId="3" totalsRowDxfId="2"/>
    <tableColumn id="33" xr3:uid="{00000000-0010-0000-0000-000021000000}" name="2024 January _x000a_Done by 2" dataDxfId="1" totalsRow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Legend%20Maintenance%20Master%202025%20-%202026.xlsx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9" sqref="B19"/>
    </sheetView>
  </sheetViews>
  <sheetFormatPr baseColWidth="10" defaultColWidth="8.83203125" defaultRowHeight="15" x14ac:dyDescent="0.2"/>
  <cols>
    <col min="2" max="2" width="112" bestFit="1" customWidth="1"/>
    <col min="8" max="8" width="28.5" bestFit="1" customWidth="1"/>
    <col min="9" max="9" width="15.83203125" bestFit="1" customWidth="1"/>
  </cols>
  <sheetData>
    <row r="1" spans="1:2" x14ac:dyDescent="0.2">
      <c r="A1" t="s">
        <v>96</v>
      </c>
    </row>
    <row r="2" spans="1:2" x14ac:dyDescent="0.2">
      <c r="A2">
        <v>1</v>
      </c>
      <c r="B2" t="s">
        <v>97</v>
      </c>
    </row>
    <row r="3" spans="1:2" x14ac:dyDescent="0.2">
      <c r="A3">
        <v>2</v>
      </c>
      <c r="B3" t="s">
        <v>98</v>
      </c>
    </row>
    <row r="4" spans="1:2" x14ac:dyDescent="0.2">
      <c r="A4">
        <v>3</v>
      </c>
      <c r="B4" t="s">
        <v>99</v>
      </c>
    </row>
    <row r="5" spans="1:2" x14ac:dyDescent="0.2">
      <c r="A5">
        <v>4</v>
      </c>
      <c r="B5" t="s">
        <v>102</v>
      </c>
    </row>
    <row r="6" spans="1:2" x14ac:dyDescent="0.2">
      <c r="A6">
        <v>5</v>
      </c>
      <c r="B6" t="s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378"/>
  <sheetViews>
    <sheetView tabSelected="1" zoomScale="130" zoomScaleNormal="130" zoomScaleSheetLayoutView="100" workbookViewId="0">
      <pane xSplit="5" ySplit="2" topLeftCell="BZ39" activePane="bottomRight" state="frozen"/>
      <selection pane="topRight" activeCell="F1" sqref="F1"/>
      <selection pane="bottomLeft" activeCell="A3" sqref="A3"/>
      <selection pane="bottomRight" activeCell="D50" sqref="D50"/>
    </sheetView>
  </sheetViews>
  <sheetFormatPr baseColWidth="10" defaultColWidth="9.1640625" defaultRowHeight="15" x14ac:dyDescent="0.2"/>
  <cols>
    <col min="1" max="1" width="17.5" style="53" customWidth="1"/>
    <col min="2" max="2" width="17.83203125" style="51" bestFit="1" customWidth="1"/>
    <col min="3" max="3" width="19.5" style="52" bestFit="1" customWidth="1"/>
    <col min="4" max="4" width="51.6640625" style="56" customWidth="1"/>
    <col min="5" max="5" width="21" style="51" customWidth="1"/>
    <col min="6" max="6" width="20.6640625" style="81" customWidth="1"/>
    <col min="7" max="10" width="20.6640625" style="51" customWidth="1"/>
    <col min="11" max="11" width="26" style="51" customWidth="1"/>
    <col min="12" max="12" width="14.1640625" style="51" customWidth="1"/>
    <col min="13" max="13" width="18.1640625" style="54" customWidth="1"/>
    <col min="14" max="45" width="19.83203125" style="55" customWidth="1"/>
    <col min="46" max="46" width="22.83203125" style="55" customWidth="1"/>
    <col min="47" max="59" width="19.83203125" style="55" customWidth="1"/>
    <col min="60" max="60" width="16.5" style="55" bestFit="1" customWidth="1"/>
    <col min="61" max="62" width="17.1640625" style="55" bestFit="1" customWidth="1"/>
    <col min="63" max="71" width="19.83203125" style="55" customWidth="1"/>
    <col min="72" max="74" width="18" style="55" bestFit="1" customWidth="1"/>
    <col min="75" max="80" width="20.6640625" style="55" customWidth="1"/>
    <col min="81" max="16384" width="9.1640625" style="51"/>
  </cols>
  <sheetData>
    <row r="1" spans="1:80" ht="59" x14ac:dyDescent="0.2">
      <c r="A1" s="59" t="s">
        <v>191</v>
      </c>
      <c r="B1" s="60" t="s">
        <v>219</v>
      </c>
      <c r="C1" s="61">
        <f ca="1">COUNTIF(N3:N198,"&lt;1/11/2025")</f>
        <v>152</v>
      </c>
      <c r="D1" s="71" t="s">
        <v>218</v>
      </c>
      <c r="E1" s="61">
        <f>O1</f>
        <v>12</v>
      </c>
      <c r="F1" s="80"/>
      <c r="G1" s="57" t="s">
        <v>92</v>
      </c>
      <c r="H1" s="57"/>
      <c r="I1" s="78">
        <f ca="1">SUM(I3:I197)</f>
        <v>972.24047619047633</v>
      </c>
      <c r="J1" s="78">
        <f>SUM(Table26[Completed Services])</f>
        <v>769</v>
      </c>
      <c r="K1" s="61">
        <f ca="1">SUM(Table26[Pending Services])</f>
        <v>203.24047619047613</v>
      </c>
      <c r="L1" s="55"/>
      <c r="M1" s="72" t="s">
        <v>105</v>
      </c>
      <c r="O1" s="61">
        <f>COUNT(Table26[2025 October
Actual])</f>
        <v>12</v>
      </c>
      <c r="R1" s="61">
        <f>COUNT(Table26[2025 October
Actual])</f>
        <v>12</v>
      </c>
      <c r="U1" s="61">
        <f>COUNT(Table26[2025 August  
Actual])</f>
        <v>43</v>
      </c>
      <c r="X1" s="61">
        <f>COUNT(Table26[2025 July  
Actual])</f>
        <v>76</v>
      </c>
      <c r="AA1" s="61">
        <f>COUNT(Table26[2025 June  
Actual])</f>
        <v>67</v>
      </c>
      <c r="AD1" s="61">
        <f>COUNT(Table26[2025 May  
Actual])</f>
        <v>112</v>
      </c>
      <c r="AG1" s="61">
        <f>COUNT(Table26[2025 April 
Actual])</f>
        <v>131</v>
      </c>
      <c r="AJ1" s="61">
        <f>COUNT(Table26[2025 March  
Actual])</f>
        <v>146</v>
      </c>
      <c r="AM1" s="61">
        <f>COUNT(Table26[2025 February 
Actual])</f>
        <v>142</v>
      </c>
      <c r="AP1" s="61">
        <f>COUNT(Table26[2025 January 
Actual])</f>
        <v>144</v>
      </c>
      <c r="AS1" s="61">
        <f>COUNT(Table26[2024 December
Actual])</f>
        <v>121</v>
      </c>
      <c r="AV1" s="61">
        <f>COUNT(Table26[2024 November
Actual])</f>
        <v>140</v>
      </c>
      <c r="AY1" s="61">
        <f>COUNT(Table26[2024 October
Actual])</f>
        <v>136</v>
      </c>
      <c r="BB1" s="61">
        <f>COUNT(Table26[2024 September
Actual])</f>
        <v>145</v>
      </c>
      <c r="BE1" s="61">
        <f>COUNT(Table26[2024 August
Actual])</f>
        <v>103</v>
      </c>
      <c r="BH1" s="61">
        <f>COUNT(Table26[2024 July
Actual])</f>
        <v>66</v>
      </c>
      <c r="BK1" s="61">
        <f>COUNT(Table26[2024 June
Actual])</f>
        <v>22</v>
      </c>
      <c r="BN1" s="61">
        <f>COUNT(Table26[2024 May
Actual])</f>
        <v>42</v>
      </c>
      <c r="BQ1" s="61">
        <f>COUNT(Table26[2024 April
Actual])</f>
        <v>92</v>
      </c>
      <c r="BT1" s="61">
        <f>COUNT(Table26[2024 MAR
Actual])</f>
        <v>70</v>
      </c>
      <c r="BW1" s="61">
        <f>COUNT(Table26[2024 Feburary 
Actual])</f>
        <v>104</v>
      </c>
      <c r="BZ1" s="61">
        <f>COUNT(Table26[2024 January 
Actual])</f>
        <v>69</v>
      </c>
    </row>
    <row r="2" spans="1:80" s="64" customFormat="1" ht="44.25" customHeight="1" x14ac:dyDescent="0.2">
      <c r="A2" s="73" t="s">
        <v>85</v>
      </c>
      <c r="B2" s="62" t="s">
        <v>103</v>
      </c>
      <c r="C2" s="62" t="s">
        <v>0</v>
      </c>
      <c r="D2" s="62" t="s">
        <v>1</v>
      </c>
      <c r="E2" s="62" t="s">
        <v>52</v>
      </c>
      <c r="F2" s="62" t="s">
        <v>39</v>
      </c>
      <c r="G2" s="62" t="s">
        <v>90</v>
      </c>
      <c r="H2" s="62" t="s">
        <v>197</v>
      </c>
      <c r="I2" s="62" t="s">
        <v>91</v>
      </c>
      <c r="J2" s="62" t="s">
        <v>87</v>
      </c>
      <c r="K2" s="62" t="s">
        <v>88</v>
      </c>
      <c r="L2" s="62" t="s">
        <v>16</v>
      </c>
      <c r="M2" s="62" t="s">
        <v>46</v>
      </c>
      <c r="N2" s="62" t="s">
        <v>40</v>
      </c>
      <c r="O2" s="62" t="s">
        <v>223</v>
      </c>
      <c r="P2" s="62" t="s">
        <v>221</v>
      </c>
      <c r="Q2" s="62" t="s">
        <v>222</v>
      </c>
      <c r="R2" s="62" t="s">
        <v>214</v>
      </c>
      <c r="S2" s="62" t="s">
        <v>215</v>
      </c>
      <c r="T2" s="62" t="s">
        <v>216</v>
      </c>
      <c r="U2" s="62" t="s">
        <v>209</v>
      </c>
      <c r="V2" s="62" t="s">
        <v>210</v>
      </c>
      <c r="W2" s="62" t="s">
        <v>211</v>
      </c>
      <c r="X2" s="62" t="s">
        <v>204</v>
      </c>
      <c r="Y2" s="62" t="s">
        <v>205</v>
      </c>
      <c r="Z2" s="62" t="s">
        <v>206</v>
      </c>
      <c r="AA2" s="62" t="s">
        <v>201</v>
      </c>
      <c r="AB2" s="62" t="s">
        <v>202</v>
      </c>
      <c r="AC2" s="62" t="s">
        <v>203</v>
      </c>
      <c r="AD2" s="62" t="s">
        <v>198</v>
      </c>
      <c r="AE2" s="62" t="s">
        <v>199</v>
      </c>
      <c r="AF2" s="62" t="s">
        <v>200</v>
      </c>
      <c r="AG2" s="62" t="s">
        <v>193</v>
      </c>
      <c r="AH2" s="62" t="s">
        <v>194</v>
      </c>
      <c r="AI2" s="62" t="s">
        <v>195</v>
      </c>
      <c r="AJ2" s="62" t="s">
        <v>187</v>
      </c>
      <c r="AK2" s="62" t="s">
        <v>188</v>
      </c>
      <c r="AL2" s="62" t="s">
        <v>189</v>
      </c>
      <c r="AM2" s="62" t="s">
        <v>184</v>
      </c>
      <c r="AN2" s="62" t="s">
        <v>185</v>
      </c>
      <c r="AO2" s="62" t="s">
        <v>186</v>
      </c>
      <c r="AP2" s="62" t="s">
        <v>180</v>
      </c>
      <c r="AQ2" s="62" t="s">
        <v>181</v>
      </c>
      <c r="AR2" s="62" t="s">
        <v>182</v>
      </c>
      <c r="AS2" s="62" t="s">
        <v>177</v>
      </c>
      <c r="AT2" s="62" t="s">
        <v>176</v>
      </c>
      <c r="AU2" s="62" t="s">
        <v>178</v>
      </c>
      <c r="AV2" s="62" t="s">
        <v>173</v>
      </c>
      <c r="AW2" s="62" t="s">
        <v>174</v>
      </c>
      <c r="AX2" s="62" t="s">
        <v>175</v>
      </c>
      <c r="AY2" s="62" t="s">
        <v>169</v>
      </c>
      <c r="AZ2" s="62" t="s">
        <v>170</v>
      </c>
      <c r="BA2" s="62" t="s">
        <v>171</v>
      </c>
      <c r="BB2" s="62" t="s">
        <v>164</v>
      </c>
      <c r="BC2" s="62" t="s">
        <v>165</v>
      </c>
      <c r="BD2" s="62" t="s">
        <v>166</v>
      </c>
      <c r="BE2" s="62" t="s">
        <v>161</v>
      </c>
      <c r="BF2" s="62" t="s">
        <v>162</v>
      </c>
      <c r="BG2" s="62" t="s">
        <v>163</v>
      </c>
      <c r="BH2" s="62" t="s">
        <v>152</v>
      </c>
      <c r="BI2" s="62" t="s">
        <v>153</v>
      </c>
      <c r="BJ2" s="62" t="s">
        <v>154</v>
      </c>
      <c r="BK2" s="62" t="s">
        <v>149</v>
      </c>
      <c r="BL2" s="62" t="s">
        <v>150</v>
      </c>
      <c r="BM2" s="62" t="s">
        <v>151</v>
      </c>
      <c r="BN2" s="62" t="s">
        <v>146</v>
      </c>
      <c r="BO2" s="62" t="s">
        <v>147</v>
      </c>
      <c r="BP2" s="62" t="s">
        <v>148</v>
      </c>
      <c r="BQ2" s="62" t="s">
        <v>143</v>
      </c>
      <c r="BR2" s="62" t="s">
        <v>144</v>
      </c>
      <c r="BS2" s="62" t="s">
        <v>145</v>
      </c>
      <c r="BT2" s="62" t="s">
        <v>139</v>
      </c>
      <c r="BU2" s="62" t="s">
        <v>140</v>
      </c>
      <c r="BV2" s="62" t="s">
        <v>141</v>
      </c>
      <c r="BW2" s="62" t="s">
        <v>136</v>
      </c>
      <c r="BX2" s="62" t="s">
        <v>137</v>
      </c>
      <c r="BY2" s="62" t="s">
        <v>138</v>
      </c>
      <c r="BZ2" s="62" t="s">
        <v>183</v>
      </c>
      <c r="CA2" s="62" t="s">
        <v>133</v>
      </c>
      <c r="CB2" s="62" t="s">
        <v>134</v>
      </c>
    </row>
    <row r="3" spans="1:80" s="64" customFormat="1" ht="22" customHeight="1" x14ac:dyDescent="0.2">
      <c r="A3" s="53" t="s">
        <v>37</v>
      </c>
      <c r="B3" s="63">
        <f ca="1">TODAY()</f>
        <v>45935</v>
      </c>
      <c r="C3" s="69" t="s">
        <v>494</v>
      </c>
      <c r="D3" s="68" t="s">
        <v>367</v>
      </c>
      <c r="E3" s="64" t="s">
        <v>9</v>
      </c>
      <c r="F3" s="2" t="s">
        <v>111</v>
      </c>
      <c r="G3" s="65">
        <v>45840</v>
      </c>
      <c r="H3" s="65">
        <v>46204</v>
      </c>
      <c r="I3" s="66">
        <f ca="1">(Table26[[#This Row],[Ref Date]]-Table26[[#This Row],[Service Start Date ]])/35</f>
        <v>2.7142857142857144</v>
      </c>
      <c r="J3" s="66">
        <f>COUNTIF(Table26[[#This Row],[2025 October
Actual]:[2024 January 
Done by 2]],"&gt;=" &amp;Table26[[#This Row],[Service Start Date ]])</f>
        <v>2</v>
      </c>
      <c r="K3" s="66">
        <f ca="1">Table26[[#This Row],[Actual Services
to be done]]-Table26[[#This Row],[Completed Services]]</f>
        <v>0.71428571428571441</v>
      </c>
      <c r="L3" s="64" t="s">
        <v>119</v>
      </c>
      <c r="M3" s="67">
        <f ca="1">B3-R3</f>
        <v>11</v>
      </c>
      <c r="N3" s="65">
        <f ca="1">((B3+(-M3+35-10)))</f>
        <v>45949</v>
      </c>
      <c r="O3" s="65"/>
      <c r="P3" s="65"/>
      <c r="Q3" s="65"/>
      <c r="R3" s="65">
        <v>45924</v>
      </c>
      <c r="S3" s="65" t="s">
        <v>617</v>
      </c>
      <c r="T3" s="65"/>
      <c r="U3" s="65"/>
      <c r="V3" s="65"/>
      <c r="W3" s="65"/>
      <c r="X3" s="65">
        <v>45854</v>
      </c>
      <c r="Y3" s="65" t="s">
        <v>618</v>
      </c>
      <c r="Z3" s="65"/>
      <c r="AA3" s="65"/>
      <c r="AB3" s="65"/>
      <c r="AC3" s="65"/>
      <c r="AD3" s="65">
        <v>45782</v>
      </c>
      <c r="AE3" s="65" t="s">
        <v>615</v>
      </c>
      <c r="AF3" s="65"/>
      <c r="AG3" s="65">
        <v>45749</v>
      </c>
      <c r="AH3" s="65" t="s">
        <v>621</v>
      </c>
      <c r="AI3" s="65"/>
      <c r="AJ3" s="65">
        <v>45730</v>
      </c>
      <c r="AK3" s="65" t="s">
        <v>615</v>
      </c>
      <c r="AL3" s="65"/>
      <c r="AM3" s="65">
        <v>45705</v>
      </c>
      <c r="AN3" s="65" t="s">
        <v>618</v>
      </c>
      <c r="AO3" s="65"/>
      <c r="AP3" s="65">
        <v>45681</v>
      </c>
      <c r="AQ3" s="65" t="s">
        <v>615</v>
      </c>
      <c r="AR3" s="65"/>
      <c r="AS3" s="65">
        <v>45643</v>
      </c>
      <c r="AT3" s="65" t="s">
        <v>615</v>
      </c>
      <c r="AU3" s="65"/>
      <c r="AV3" s="65">
        <v>45603</v>
      </c>
      <c r="AW3" s="65" t="s">
        <v>615</v>
      </c>
      <c r="AX3" s="65"/>
      <c r="AY3" s="65">
        <v>45568</v>
      </c>
      <c r="AZ3" s="65" t="s">
        <v>615</v>
      </c>
      <c r="BA3" s="65"/>
      <c r="BB3" s="65">
        <v>45539</v>
      </c>
      <c r="BC3" s="65" t="s">
        <v>618</v>
      </c>
      <c r="BD3" s="65"/>
      <c r="BE3" s="65"/>
      <c r="BF3" s="65"/>
      <c r="BG3" s="65"/>
      <c r="BH3" s="65">
        <v>45503</v>
      </c>
      <c r="BI3" s="65" t="s">
        <v>624</v>
      </c>
      <c r="BJ3" s="65" t="s">
        <v>622</v>
      </c>
      <c r="BK3" s="65">
        <v>45448</v>
      </c>
      <c r="BL3" s="65" t="s">
        <v>625</v>
      </c>
      <c r="BM3" s="65"/>
      <c r="BN3" s="65"/>
      <c r="BO3" s="65"/>
      <c r="BP3" s="65"/>
      <c r="BQ3" s="65">
        <v>45406</v>
      </c>
      <c r="BR3" s="65" t="s">
        <v>629</v>
      </c>
      <c r="BS3" s="65"/>
      <c r="BT3" s="65">
        <v>45369</v>
      </c>
      <c r="BU3" s="65" t="s">
        <v>629</v>
      </c>
      <c r="BV3" s="65"/>
      <c r="BW3" s="65">
        <v>45331</v>
      </c>
      <c r="BX3" s="65" t="s">
        <v>630</v>
      </c>
      <c r="BY3" s="65"/>
      <c r="BZ3" s="65"/>
      <c r="CA3" s="65"/>
      <c r="CB3" s="65"/>
    </row>
    <row r="4" spans="1:80" s="64" customFormat="1" ht="22" customHeight="1" x14ac:dyDescent="0.2">
      <c r="A4" s="53" t="s">
        <v>37</v>
      </c>
      <c r="B4" s="63">
        <f ca="1">TODAY()</f>
        <v>45935</v>
      </c>
      <c r="C4" s="69" t="s">
        <v>445</v>
      </c>
      <c r="D4" s="68" t="s">
        <v>238</v>
      </c>
      <c r="E4" s="64" t="s">
        <v>84</v>
      </c>
      <c r="F4" s="2" t="s">
        <v>111</v>
      </c>
      <c r="G4" s="65">
        <v>45779</v>
      </c>
      <c r="H4" s="65">
        <v>46143</v>
      </c>
      <c r="I4" s="66">
        <f ca="1">(Table26[[#This Row],[Ref Date]]-Table26[[#This Row],[Service Start Date ]])/35</f>
        <v>4.4571428571428573</v>
      </c>
      <c r="J4" s="66">
        <f>COUNTIF(Table26[[#This Row],[2025 October
Actual]:[2024 January 
Done by 2]],"&gt;=" &amp;Table26[[#This Row],[Service Start Date ]])</f>
        <v>1</v>
      </c>
      <c r="K4" s="66">
        <f ca="1">Table26[[#This Row],[Actual Services
to be done]]-Table26[[#This Row],[Completed Services]]</f>
        <v>3.4571428571428573</v>
      </c>
      <c r="L4" s="64" t="s">
        <v>119</v>
      </c>
      <c r="M4" s="67">
        <f ca="1">B4-AD4</f>
        <v>128</v>
      </c>
      <c r="N4" s="65">
        <f ca="1">((B4+(-M4+35-10)))</f>
        <v>45832</v>
      </c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>
        <v>45807</v>
      </c>
      <c r="AE4" s="65" t="s">
        <v>615</v>
      </c>
      <c r="AF4" s="65"/>
      <c r="AG4" s="65">
        <v>45748</v>
      </c>
      <c r="AH4" s="65" t="s">
        <v>621</v>
      </c>
      <c r="AI4" s="65"/>
      <c r="AJ4" s="65">
        <v>45720</v>
      </c>
      <c r="AK4" s="65" t="s">
        <v>615</v>
      </c>
      <c r="AL4" s="65"/>
      <c r="AM4" s="65">
        <v>45689</v>
      </c>
      <c r="AN4" s="65" t="s">
        <v>615</v>
      </c>
      <c r="AO4" s="65"/>
      <c r="AP4" s="65"/>
      <c r="AQ4" s="65"/>
      <c r="AR4" s="65"/>
      <c r="AS4" s="65">
        <v>45647</v>
      </c>
      <c r="AT4" s="65" t="s">
        <v>620</v>
      </c>
      <c r="AU4" s="65"/>
      <c r="AV4" s="65">
        <v>45617</v>
      </c>
      <c r="AW4" s="65" t="s">
        <v>615</v>
      </c>
      <c r="AX4" s="65"/>
      <c r="AY4" s="65">
        <v>45577</v>
      </c>
      <c r="AZ4" s="95" t="s">
        <v>622</v>
      </c>
      <c r="BA4" s="65"/>
      <c r="BB4" s="65">
        <v>45551</v>
      </c>
      <c r="BC4" s="65" t="s">
        <v>622</v>
      </c>
      <c r="BD4" s="65"/>
      <c r="BE4" s="65">
        <v>45510</v>
      </c>
      <c r="BF4" s="65" t="s">
        <v>615</v>
      </c>
      <c r="BG4" s="65"/>
      <c r="BH4" s="65">
        <v>45482</v>
      </c>
      <c r="BI4" s="65" t="s">
        <v>621</v>
      </c>
      <c r="BJ4" s="65" t="s">
        <v>622</v>
      </c>
      <c r="BK4" s="65">
        <v>45453</v>
      </c>
      <c r="BL4" s="65" t="s">
        <v>628</v>
      </c>
      <c r="BM4" s="65" t="s">
        <v>624</v>
      </c>
      <c r="BN4" s="65"/>
      <c r="BO4" s="65"/>
      <c r="BP4" s="65"/>
      <c r="BQ4" s="65">
        <v>45406</v>
      </c>
      <c r="BR4" s="65" t="s">
        <v>629</v>
      </c>
      <c r="BS4" s="65"/>
      <c r="BT4" s="65"/>
      <c r="BU4" s="65"/>
      <c r="BV4" s="65"/>
      <c r="BW4" s="65">
        <v>45350</v>
      </c>
      <c r="BX4" s="65" t="s">
        <v>630</v>
      </c>
      <c r="BY4" s="65"/>
      <c r="BZ4" s="65">
        <v>45312</v>
      </c>
      <c r="CA4" s="65" t="s">
        <v>629</v>
      </c>
      <c r="CB4" s="65"/>
    </row>
    <row r="5" spans="1:80" s="64" customFormat="1" ht="22" customHeight="1" x14ac:dyDescent="0.2">
      <c r="A5" s="53" t="s">
        <v>37</v>
      </c>
      <c r="B5" s="63">
        <f ca="1">TODAY()</f>
        <v>45935</v>
      </c>
      <c r="C5" s="69" t="s">
        <v>451</v>
      </c>
      <c r="D5" s="68" t="s">
        <v>310</v>
      </c>
      <c r="E5" s="64" t="s">
        <v>160</v>
      </c>
      <c r="F5" s="2" t="s">
        <v>111</v>
      </c>
      <c r="G5" s="65">
        <v>45627</v>
      </c>
      <c r="H5" s="65">
        <v>45991</v>
      </c>
      <c r="I5" s="66">
        <f ca="1">(Table26[[#This Row],[Ref Date]]-Table26[[#This Row],[Service Start Date ]])/35</f>
        <v>8.8000000000000007</v>
      </c>
      <c r="J5" s="66">
        <f>COUNTIF(Table26[[#This Row],[2025 October
Actual]:[2024 January 
Done by 2]],"&gt;=" &amp;Table26[[#This Row],[Service Start Date ]])</f>
        <v>7</v>
      </c>
      <c r="K5" s="66">
        <f ca="1">Table26[[#This Row],[Actual Services
to be done]]-Table26[[#This Row],[Completed Services]]</f>
        <v>1.8000000000000007</v>
      </c>
      <c r="L5" s="64" t="s">
        <v>119</v>
      </c>
      <c r="M5" s="67">
        <f ca="1">B5-R5</f>
        <v>15</v>
      </c>
      <c r="N5" s="65">
        <f ca="1">((B5+(-M5+35-10)))</f>
        <v>45945</v>
      </c>
      <c r="O5" s="65"/>
      <c r="P5" s="65"/>
      <c r="Q5" s="65"/>
      <c r="R5" s="65">
        <v>45920</v>
      </c>
      <c r="S5" s="65" t="s">
        <v>615</v>
      </c>
      <c r="T5" s="65"/>
      <c r="U5" s="65"/>
      <c r="V5" s="65"/>
      <c r="W5" s="65"/>
      <c r="X5" s="65"/>
      <c r="Y5" s="65"/>
      <c r="Z5" s="65"/>
      <c r="AA5" s="65">
        <v>45812</v>
      </c>
      <c r="AB5" s="65" t="s">
        <v>618</v>
      </c>
      <c r="AC5" s="65"/>
      <c r="AD5" s="65"/>
      <c r="AE5" s="65"/>
      <c r="AF5" s="65"/>
      <c r="AG5" s="65">
        <v>45768</v>
      </c>
      <c r="AH5" s="65" t="s">
        <v>622</v>
      </c>
      <c r="AI5" s="65"/>
      <c r="AJ5" s="65">
        <v>45741</v>
      </c>
      <c r="AK5" s="65" t="s">
        <v>622</v>
      </c>
      <c r="AL5" s="65"/>
      <c r="AM5" s="65">
        <v>45714</v>
      </c>
      <c r="AN5" s="65" t="s">
        <v>615</v>
      </c>
      <c r="AO5" s="65"/>
      <c r="AP5" s="65">
        <v>45688</v>
      </c>
      <c r="AQ5" s="65" t="s">
        <v>615</v>
      </c>
      <c r="AR5" s="65"/>
      <c r="AS5" s="65">
        <v>45644</v>
      </c>
      <c r="AT5" s="65" t="s">
        <v>615</v>
      </c>
      <c r="AU5" s="65"/>
      <c r="AV5" s="65">
        <v>45605</v>
      </c>
      <c r="AW5" s="65" t="s">
        <v>622</v>
      </c>
      <c r="AX5" s="65"/>
      <c r="AY5" s="65">
        <v>45573</v>
      </c>
      <c r="AZ5" s="95" t="s">
        <v>622</v>
      </c>
      <c r="BA5" s="65"/>
      <c r="BB5" s="65">
        <v>45545</v>
      </c>
      <c r="BC5" s="65" t="s">
        <v>622</v>
      </c>
      <c r="BD5" s="65"/>
      <c r="BE5" s="65">
        <v>45512</v>
      </c>
      <c r="BF5" s="65" t="s">
        <v>622</v>
      </c>
      <c r="BG5" s="65"/>
      <c r="BH5" s="65"/>
      <c r="BI5" s="65"/>
      <c r="BJ5" s="65"/>
      <c r="BK5" s="65">
        <v>45456</v>
      </c>
      <c r="BL5" s="65" t="s">
        <v>628</v>
      </c>
      <c r="BM5" s="65" t="s">
        <v>624</v>
      </c>
      <c r="BN5" s="65">
        <v>45427</v>
      </c>
      <c r="BO5" s="65" t="s">
        <v>628</v>
      </c>
      <c r="BP5" s="65"/>
      <c r="BQ5" s="65">
        <v>45384</v>
      </c>
      <c r="BR5" s="65" t="s">
        <v>629</v>
      </c>
      <c r="BS5" s="65"/>
      <c r="BT5" s="65"/>
      <c r="BU5" s="65"/>
      <c r="BV5" s="65"/>
      <c r="BW5" s="65">
        <v>45337</v>
      </c>
      <c r="BX5" s="65" t="s">
        <v>630</v>
      </c>
      <c r="BY5" s="65"/>
      <c r="BZ5" s="65"/>
      <c r="CA5" s="65"/>
      <c r="CB5" s="65"/>
    </row>
    <row r="6" spans="1:80" s="64" customFormat="1" ht="22" customHeight="1" x14ac:dyDescent="0.2">
      <c r="A6" s="53" t="s">
        <v>159</v>
      </c>
      <c r="B6" s="63">
        <f ca="1">TODAY()</f>
        <v>45935</v>
      </c>
      <c r="C6" s="69" t="s">
        <v>498</v>
      </c>
      <c r="D6" s="68" t="s">
        <v>383</v>
      </c>
      <c r="E6" s="64" t="s">
        <v>8</v>
      </c>
      <c r="F6" s="2" t="s">
        <v>111</v>
      </c>
      <c r="G6" s="65">
        <v>45717</v>
      </c>
      <c r="H6" s="65">
        <v>46081</v>
      </c>
      <c r="I6" s="66">
        <f ca="1">(Table26[[#This Row],[Ref Date]]-Table26[[#This Row],[Service Start Date ]])/35</f>
        <v>6.2285714285714286</v>
      </c>
      <c r="J6" s="66">
        <f>COUNTIF(Table26[[#This Row],[2025 October
Actual]:[2024 January 
Done by 2]],"&gt;=" &amp;Table26[[#This Row],[Service Start Date ]])</f>
        <v>3</v>
      </c>
      <c r="K6" s="66">
        <f ca="1">Table26[[#This Row],[Actual Services
to be done]]-Table26[[#This Row],[Completed Services]]</f>
        <v>3.2285714285714286</v>
      </c>
      <c r="L6" s="64" t="s">
        <v>119</v>
      </c>
      <c r="M6" s="67">
        <f ca="1">B6-R6</f>
        <v>29</v>
      </c>
      <c r="N6" s="65">
        <f ca="1">((B6+(-M6+35-10)))</f>
        <v>45931</v>
      </c>
      <c r="O6" s="65"/>
      <c r="P6" s="65"/>
      <c r="Q6" s="65"/>
      <c r="R6" s="65">
        <v>45906</v>
      </c>
      <c r="S6" s="65" t="s">
        <v>621</v>
      </c>
      <c r="T6" s="65"/>
      <c r="U6" s="65"/>
      <c r="V6" s="65"/>
      <c r="W6" s="65"/>
      <c r="X6" s="65"/>
      <c r="Y6" s="65"/>
      <c r="Z6" s="65"/>
      <c r="AA6" s="65"/>
      <c r="AB6" s="65"/>
      <c r="AC6" s="65"/>
      <c r="AD6" s="65">
        <v>45789</v>
      </c>
      <c r="AE6" s="65" t="s">
        <v>615</v>
      </c>
      <c r="AF6" s="65"/>
      <c r="AG6" s="65">
        <v>45769</v>
      </c>
      <c r="AH6" s="65" t="s">
        <v>622</v>
      </c>
      <c r="AI6" s="65"/>
      <c r="AJ6" s="65"/>
      <c r="AK6" s="65"/>
      <c r="AL6" s="65"/>
      <c r="AM6" s="65">
        <v>45707</v>
      </c>
      <c r="AN6" s="65" t="s">
        <v>622</v>
      </c>
      <c r="AO6" s="65"/>
      <c r="AP6" s="65">
        <v>45686</v>
      </c>
      <c r="AQ6" s="65" t="s">
        <v>615</v>
      </c>
      <c r="AR6" s="65"/>
      <c r="AS6" s="65">
        <v>45643</v>
      </c>
      <c r="AT6" s="65" t="s">
        <v>615</v>
      </c>
      <c r="AU6" s="65"/>
      <c r="AV6" s="65">
        <v>45617</v>
      </c>
      <c r="AW6" s="65" t="s">
        <v>618</v>
      </c>
      <c r="AX6" s="65"/>
      <c r="AY6" s="65">
        <v>45587</v>
      </c>
      <c r="AZ6" s="65" t="s">
        <v>618</v>
      </c>
      <c r="BA6" s="65"/>
      <c r="BB6" s="65">
        <v>45563</v>
      </c>
      <c r="BC6" s="65" t="s">
        <v>618</v>
      </c>
      <c r="BD6" s="65"/>
      <c r="BE6" s="65">
        <v>45525</v>
      </c>
      <c r="BF6" s="65" t="s">
        <v>618</v>
      </c>
      <c r="BG6" s="65"/>
      <c r="BH6" s="65"/>
      <c r="BI6" s="65"/>
      <c r="BJ6" s="65"/>
      <c r="BK6" s="65">
        <v>45457</v>
      </c>
      <c r="BL6" s="65" t="s">
        <v>628</v>
      </c>
      <c r="BM6" s="65" t="s">
        <v>624</v>
      </c>
      <c r="BN6" s="65">
        <v>45434</v>
      </c>
      <c r="BO6" s="65" t="s">
        <v>626</v>
      </c>
      <c r="BP6" s="65"/>
      <c r="BQ6" s="65">
        <v>45388</v>
      </c>
      <c r="BR6" s="65" t="s">
        <v>629</v>
      </c>
      <c r="BS6" s="65"/>
      <c r="BT6" s="65"/>
      <c r="BU6" s="65"/>
      <c r="BV6" s="65"/>
      <c r="BW6" s="65">
        <v>45343</v>
      </c>
      <c r="BX6" s="65" t="s">
        <v>626</v>
      </c>
      <c r="BY6" s="65"/>
      <c r="BZ6" s="65"/>
      <c r="CA6" s="65"/>
      <c r="CB6" s="65"/>
    </row>
    <row r="7" spans="1:80" s="64" customFormat="1" ht="22" customHeight="1" x14ac:dyDescent="0.2">
      <c r="A7" s="53" t="s">
        <v>38</v>
      </c>
      <c r="B7" s="63">
        <f ca="1">TODAY()</f>
        <v>45935</v>
      </c>
      <c r="C7" s="69" t="s">
        <v>582</v>
      </c>
      <c r="D7" s="68" t="s">
        <v>224</v>
      </c>
      <c r="E7" s="64" t="s">
        <v>41</v>
      </c>
      <c r="F7" s="2" t="s">
        <v>113</v>
      </c>
      <c r="G7" s="65">
        <v>45566</v>
      </c>
      <c r="H7" s="65">
        <v>45930</v>
      </c>
      <c r="I7" s="66">
        <v>10</v>
      </c>
      <c r="J7" s="66">
        <f>COUNTIF(Table26[[#This Row],[2025 October
Actual]:[2024 January 
Done by 2]],"&gt;=" &amp;Table26[[#This Row],[Service Start Date ]])</f>
        <v>11</v>
      </c>
      <c r="K7" s="66">
        <f>Table26[[#This Row],[Actual Services
to be done]]-Table26[[#This Row],[Completed Services]]</f>
        <v>-1</v>
      </c>
      <c r="L7" s="64" t="s">
        <v>119</v>
      </c>
      <c r="M7" s="67">
        <f ca="1">B7-R7</f>
        <v>6</v>
      </c>
      <c r="N7" s="65">
        <f ca="1">((B7+(-M7+35+10)))</f>
        <v>45974</v>
      </c>
      <c r="O7" s="65"/>
      <c r="P7" s="65"/>
      <c r="Q7" s="65"/>
      <c r="R7" s="65">
        <v>45929</v>
      </c>
      <c r="S7" s="65" t="s">
        <v>617</v>
      </c>
      <c r="T7" s="65"/>
      <c r="U7" s="65">
        <v>45894</v>
      </c>
      <c r="V7" s="65" t="s">
        <v>617</v>
      </c>
      <c r="W7" s="65" t="s">
        <v>213</v>
      </c>
      <c r="X7" s="65">
        <v>45868</v>
      </c>
      <c r="Y7" s="65" t="s">
        <v>620</v>
      </c>
      <c r="Z7" s="65"/>
      <c r="AA7" s="65">
        <v>45813</v>
      </c>
      <c r="AB7" s="65" t="s">
        <v>615</v>
      </c>
      <c r="AC7" s="65"/>
      <c r="AD7" s="65"/>
      <c r="AE7" s="65"/>
      <c r="AF7" s="65"/>
      <c r="AG7" s="65">
        <v>45757</v>
      </c>
      <c r="AH7" s="65" t="s">
        <v>622</v>
      </c>
      <c r="AI7" s="65"/>
      <c r="AJ7" s="65">
        <v>45728</v>
      </c>
      <c r="AK7" s="65" t="s">
        <v>620</v>
      </c>
      <c r="AL7" s="65"/>
      <c r="AM7" s="65">
        <v>45706</v>
      </c>
      <c r="AN7" s="65" t="s">
        <v>622</v>
      </c>
      <c r="AO7" s="65"/>
      <c r="AP7" s="65">
        <v>45680</v>
      </c>
      <c r="AQ7" s="65" t="s">
        <v>620</v>
      </c>
      <c r="AR7" s="65"/>
      <c r="AS7" s="65">
        <v>45639</v>
      </c>
      <c r="AT7" s="65" t="s">
        <v>620</v>
      </c>
      <c r="AU7" s="65"/>
      <c r="AV7" s="65">
        <v>45610</v>
      </c>
      <c r="AW7" s="65" t="s">
        <v>620</v>
      </c>
      <c r="AX7" s="65"/>
      <c r="AY7" s="65">
        <v>45579</v>
      </c>
      <c r="AZ7" s="65" t="s">
        <v>615</v>
      </c>
      <c r="BA7" s="65"/>
      <c r="BB7" s="65">
        <v>45552</v>
      </c>
      <c r="BC7" s="65" t="s">
        <v>615</v>
      </c>
      <c r="BD7" s="65"/>
      <c r="BE7" s="65">
        <v>45518</v>
      </c>
      <c r="BF7" s="65" t="s">
        <v>615</v>
      </c>
      <c r="BG7" s="65"/>
      <c r="BH7" s="65"/>
      <c r="BI7" s="65"/>
      <c r="BJ7" s="65"/>
      <c r="BK7" s="65">
        <v>45455</v>
      </c>
      <c r="BL7" s="65" t="s">
        <v>628</v>
      </c>
      <c r="BM7" s="65" t="s">
        <v>624</v>
      </c>
      <c r="BN7" s="65"/>
      <c r="BO7" s="65"/>
      <c r="BP7" s="65"/>
      <c r="BQ7" s="65"/>
      <c r="BR7" s="65"/>
      <c r="BS7" s="65"/>
      <c r="BT7" s="65">
        <v>45353</v>
      </c>
      <c r="BU7" s="65" t="s">
        <v>630</v>
      </c>
      <c r="BV7" s="65"/>
      <c r="BW7" s="65"/>
      <c r="BX7" s="65"/>
      <c r="BY7" s="65"/>
      <c r="BZ7" s="65">
        <v>45313</v>
      </c>
      <c r="CA7" s="65" t="s">
        <v>629</v>
      </c>
      <c r="CB7" s="65"/>
    </row>
    <row r="8" spans="1:80" s="64" customFormat="1" ht="22" customHeight="1" x14ac:dyDescent="0.2">
      <c r="A8" s="53" t="s">
        <v>37</v>
      </c>
      <c r="B8" s="63">
        <f ca="1">TODAY()</f>
        <v>45935</v>
      </c>
      <c r="C8" s="69" t="s">
        <v>438</v>
      </c>
      <c r="D8" s="68" t="s">
        <v>264</v>
      </c>
      <c r="E8" s="64" t="s">
        <v>7</v>
      </c>
      <c r="F8" s="2" t="s">
        <v>111</v>
      </c>
      <c r="G8" s="65">
        <v>45873</v>
      </c>
      <c r="H8" s="65">
        <v>46237</v>
      </c>
      <c r="I8" s="66">
        <f ca="1">(Table26[[#This Row],[Ref Date]]-Table26[[#This Row],[Service Start Date ]])/35</f>
        <v>1.7714285714285714</v>
      </c>
      <c r="J8" s="66">
        <f>COUNTIF(Table26[[#This Row],[2025 October
Actual]:[2024 January 
Done by 2]],"&gt;=" &amp;Table26[[#This Row],[Service Start Date ]])</f>
        <v>0</v>
      </c>
      <c r="K8" s="66">
        <f ca="1">Table26[[#This Row],[Actual Services
to be done]]-Table26[[#This Row],[Completed Services]]</f>
        <v>1.7714285714285714</v>
      </c>
      <c r="L8" s="64" t="s">
        <v>119</v>
      </c>
      <c r="M8" s="67">
        <f ca="1">B8-AA8</f>
        <v>120</v>
      </c>
      <c r="N8" s="65">
        <f ca="1">((B8+(-M8+35-10)))</f>
        <v>45840</v>
      </c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>
        <v>45815</v>
      </c>
      <c r="AB8" s="65" t="s">
        <v>615</v>
      </c>
      <c r="AC8" s="65"/>
      <c r="AD8" s="65"/>
      <c r="AE8" s="65"/>
      <c r="AF8" s="65"/>
      <c r="AG8" s="65">
        <v>45775</v>
      </c>
      <c r="AH8" s="65" t="s">
        <v>622</v>
      </c>
      <c r="AI8" s="65"/>
      <c r="AJ8" s="65">
        <v>45722</v>
      </c>
      <c r="AK8" s="65" t="s">
        <v>615</v>
      </c>
      <c r="AL8" s="65"/>
      <c r="AM8" s="65">
        <v>45691</v>
      </c>
      <c r="AN8" s="65" t="s">
        <v>615</v>
      </c>
      <c r="AO8" s="65"/>
      <c r="AP8" s="65">
        <v>45659</v>
      </c>
      <c r="AQ8" s="65" t="s">
        <v>622</v>
      </c>
      <c r="AR8" s="65"/>
      <c r="AS8" s="65"/>
      <c r="AT8" s="65"/>
      <c r="AU8" s="65"/>
      <c r="AV8" s="65">
        <v>45624</v>
      </c>
      <c r="AW8" s="65" t="s">
        <v>618</v>
      </c>
      <c r="AX8" s="65"/>
      <c r="AY8" s="65"/>
      <c r="AZ8" s="65"/>
      <c r="BA8" s="65"/>
      <c r="BB8" s="65">
        <v>45546</v>
      </c>
      <c r="BC8" s="65" t="s">
        <v>618</v>
      </c>
      <c r="BD8" s="65"/>
      <c r="BE8" s="65">
        <v>45507</v>
      </c>
      <c r="BF8" s="65" t="s">
        <v>621</v>
      </c>
      <c r="BG8" s="65"/>
      <c r="BH8" s="65"/>
      <c r="BI8" s="65"/>
      <c r="BJ8" s="65"/>
      <c r="BK8" s="65">
        <v>45454</v>
      </c>
      <c r="BL8" s="65" t="s">
        <v>628</v>
      </c>
      <c r="BM8" s="65"/>
      <c r="BN8" s="65">
        <v>45429</v>
      </c>
      <c r="BO8" s="65" t="s">
        <v>626</v>
      </c>
      <c r="BP8" s="65"/>
      <c r="BQ8" s="65">
        <v>45407</v>
      </c>
      <c r="BR8" s="65" t="s">
        <v>621</v>
      </c>
      <c r="BS8" s="65"/>
      <c r="BT8" s="65">
        <v>45371</v>
      </c>
      <c r="BU8" s="65" t="s">
        <v>629</v>
      </c>
      <c r="BV8" s="65"/>
      <c r="BW8" s="65">
        <v>45323</v>
      </c>
      <c r="BX8" s="65" t="s">
        <v>630</v>
      </c>
      <c r="BY8" s="65"/>
      <c r="BZ8" s="65">
        <v>45310</v>
      </c>
      <c r="CA8" s="65" t="s">
        <v>630</v>
      </c>
      <c r="CB8" s="65"/>
    </row>
    <row r="9" spans="1:80" s="64" customFormat="1" ht="22" customHeight="1" x14ac:dyDescent="0.2">
      <c r="A9" s="53" t="s">
        <v>37</v>
      </c>
      <c r="B9" s="63">
        <f ca="1">TODAY()</f>
        <v>45935</v>
      </c>
      <c r="C9" s="69" t="s">
        <v>528</v>
      </c>
      <c r="D9" s="68" t="s">
        <v>347</v>
      </c>
      <c r="E9" s="64" t="s">
        <v>22</v>
      </c>
      <c r="F9" s="2" t="s">
        <v>111</v>
      </c>
      <c r="G9" s="65">
        <v>45717</v>
      </c>
      <c r="H9" s="65">
        <v>46081</v>
      </c>
      <c r="I9" s="66">
        <f ca="1">(Table26[[#This Row],[Ref Date]]-Table26[[#This Row],[Service Start Date ]])/35</f>
        <v>6.2285714285714286</v>
      </c>
      <c r="J9" s="66">
        <f>COUNTIF(Table26[[#This Row],[2025 October
Actual]:[2024 January 
Done by 2]],"&gt;=" &amp;Table26[[#This Row],[Service Start Date ]])</f>
        <v>5</v>
      </c>
      <c r="K9" s="66">
        <f ca="1">Table26[[#This Row],[Actual Services
to be done]]-Table26[[#This Row],[Completed Services]]</f>
        <v>1.2285714285714286</v>
      </c>
      <c r="L9" s="64" t="s">
        <v>119</v>
      </c>
      <c r="M9" s="67">
        <f ca="1">B9-R9</f>
        <v>16</v>
      </c>
      <c r="N9" s="65">
        <f ca="1">((B9+(-M9+35-10)))</f>
        <v>45944</v>
      </c>
      <c r="O9" s="100"/>
      <c r="P9" s="100"/>
      <c r="Q9" s="100"/>
      <c r="R9" s="100">
        <v>45919</v>
      </c>
      <c r="S9" s="100" t="s">
        <v>615</v>
      </c>
      <c r="T9" s="65"/>
      <c r="U9" s="65">
        <v>45901</v>
      </c>
      <c r="V9" s="65" t="s">
        <v>618</v>
      </c>
      <c r="W9" s="65"/>
      <c r="X9" s="65"/>
      <c r="Y9" s="65"/>
      <c r="Z9" s="65"/>
      <c r="AA9" s="65">
        <v>45811</v>
      </c>
      <c r="AB9" s="65" t="s">
        <v>615</v>
      </c>
      <c r="AC9" s="65"/>
      <c r="AD9" s="65"/>
      <c r="AE9" s="65"/>
      <c r="AF9" s="65"/>
      <c r="AG9" s="65">
        <v>45775</v>
      </c>
      <c r="AH9" s="65" t="s">
        <v>615</v>
      </c>
      <c r="AI9" s="65"/>
      <c r="AJ9" s="65">
        <v>45729</v>
      </c>
      <c r="AK9" s="65" t="s">
        <v>615</v>
      </c>
      <c r="AL9" s="65"/>
      <c r="AM9" s="65">
        <v>45701</v>
      </c>
      <c r="AN9" s="65" t="s">
        <v>615</v>
      </c>
      <c r="AO9" s="65"/>
      <c r="AP9" s="65">
        <v>45674</v>
      </c>
      <c r="AQ9" s="65" t="s">
        <v>615</v>
      </c>
      <c r="AR9" s="65"/>
      <c r="AS9" s="65">
        <v>45637</v>
      </c>
      <c r="AT9" s="65" t="s">
        <v>615</v>
      </c>
      <c r="AU9" s="65" t="s">
        <v>623</v>
      </c>
      <c r="AV9" s="65">
        <v>45611</v>
      </c>
      <c r="AW9" s="65" t="s">
        <v>615</v>
      </c>
      <c r="AX9" s="65"/>
      <c r="AY9" s="65">
        <v>45573</v>
      </c>
      <c r="AZ9" s="65" t="s">
        <v>615</v>
      </c>
      <c r="BA9" s="65"/>
      <c r="BB9" s="65">
        <v>45545</v>
      </c>
      <c r="BC9" s="65" t="s">
        <v>615</v>
      </c>
      <c r="BD9" s="65"/>
      <c r="BE9" s="65">
        <v>45506</v>
      </c>
      <c r="BF9" s="65" t="s">
        <v>615</v>
      </c>
      <c r="BG9" s="65"/>
      <c r="BH9" s="65"/>
      <c r="BI9" s="65"/>
      <c r="BJ9" s="65"/>
      <c r="BK9" s="65">
        <v>45450</v>
      </c>
      <c r="BL9" s="65" t="s">
        <v>621</v>
      </c>
      <c r="BM9" s="65"/>
      <c r="BN9" s="65"/>
      <c r="BO9" s="65"/>
      <c r="BP9" s="65"/>
      <c r="BQ9" s="65">
        <v>45398</v>
      </c>
      <c r="BR9" s="65" t="s">
        <v>629</v>
      </c>
      <c r="BS9" s="65"/>
      <c r="BT9" s="65">
        <v>45362</v>
      </c>
      <c r="BU9" s="65" t="s">
        <v>629</v>
      </c>
      <c r="BV9" s="65"/>
      <c r="BW9" s="65"/>
      <c r="BX9" s="65"/>
      <c r="BY9" s="65"/>
      <c r="BZ9" s="65"/>
      <c r="CA9" s="65"/>
      <c r="CB9" s="65"/>
    </row>
    <row r="10" spans="1:80" s="64" customFormat="1" ht="22" customHeight="1" x14ac:dyDescent="0.2">
      <c r="A10" s="53" t="s">
        <v>37</v>
      </c>
      <c r="B10" s="63">
        <f ca="1">TODAY()</f>
        <v>45935</v>
      </c>
      <c r="C10" s="69" t="s">
        <v>529</v>
      </c>
      <c r="D10" s="68" t="s">
        <v>348</v>
      </c>
      <c r="E10" s="64" t="s">
        <v>22</v>
      </c>
      <c r="F10" s="2" t="s">
        <v>111</v>
      </c>
      <c r="G10" s="65">
        <v>45717</v>
      </c>
      <c r="H10" s="65">
        <v>46081</v>
      </c>
      <c r="I10" s="66">
        <f ca="1">(Table26[[#This Row],[Ref Date]]-Table26[[#This Row],[Service Start Date ]])/35</f>
        <v>6.2285714285714286</v>
      </c>
      <c r="J10" s="66">
        <f>COUNTIF(Table26[[#This Row],[2025 October
Actual]:[2024 January 
Done by 2]],"&gt;=" &amp;Table26[[#This Row],[Service Start Date ]])</f>
        <v>3</v>
      </c>
      <c r="K10" s="66">
        <f ca="1">Table26[[#This Row],[Actual Services
to be done]]-Table26[[#This Row],[Completed Services]]</f>
        <v>3.2285714285714286</v>
      </c>
      <c r="L10" s="64" t="s">
        <v>119</v>
      </c>
      <c r="M10" s="67">
        <f ca="1">B10-AA10</f>
        <v>124</v>
      </c>
      <c r="N10" s="65">
        <f ca="1">((B10+(-M10+35-10)))</f>
        <v>45836</v>
      </c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>
        <v>45811</v>
      </c>
      <c r="AB10" s="65" t="s">
        <v>615</v>
      </c>
      <c r="AC10" s="65"/>
      <c r="AD10" s="65"/>
      <c r="AE10" s="65"/>
      <c r="AF10" s="65"/>
      <c r="AG10" s="65">
        <v>45775</v>
      </c>
      <c r="AH10" s="65" t="s">
        <v>615</v>
      </c>
      <c r="AI10" s="65"/>
      <c r="AJ10" s="65">
        <v>45729</v>
      </c>
      <c r="AK10" s="65" t="s">
        <v>615</v>
      </c>
      <c r="AL10" s="65"/>
      <c r="AM10" s="65">
        <v>45701</v>
      </c>
      <c r="AN10" s="65" t="s">
        <v>615</v>
      </c>
      <c r="AO10" s="65"/>
      <c r="AP10" s="65">
        <v>45674</v>
      </c>
      <c r="AQ10" s="65" t="s">
        <v>615</v>
      </c>
      <c r="AR10" s="65"/>
      <c r="AS10" s="65">
        <v>45637</v>
      </c>
      <c r="AT10" s="65" t="s">
        <v>615</v>
      </c>
      <c r="AU10" s="65" t="s">
        <v>623</v>
      </c>
      <c r="AV10" s="65">
        <v>45611</v>
      </c>
      <c r="AW10" s="65" t="s">
        <v>615</v>
      </c>
      <c r="AX10" s="65"/>
      <c r="AY10" s="65">
        <v>45573</v>
      </c>
      <c r="AZ10" s="65" t="s">
        <v>615</v>
      </c>
      <c r="BA10" s="65"/>
      <c r="BB10" s="65">
        <v>45545</v>
      </c>
      <c r="BC10" s="65" t="s">
        <v>615</v>
      </c>
      <c r="BD10" s="65"/>
      <c r="BE10" s="65">
        <v>45506</v>
      </c>
      <c r="BF10" s="65" t="s">
        <v>615</v>
      </c>
      <c r="BG10" s="65"/>
      <c r="BH10" s="65"/>
      <c r="BI10" s="65"/>
      <c r="BJ10" s="65"/>
      <c r="BK10" s="65">
        <v>45450</v>
      </c>
      <c r="BL10" s="65" t="s">
        <v>621</v>
      </c>
      <c r="BM10" s="65"/>
      <c r="BN10" s="65"/>
      <c r="BO10" s="65"/>
      <c r="BP10" s="65"/>
      <c r="BQ10" s="65">
        <v>45398</v>
      </c>
      <c r="BR10" s="65" t="s">
        <v>629</v>
      </c>
      <c r="BS10" s="65"/>
      <c r="BT10" s="65">
        <v>45362</v>
      </c>
      <c r="BU10" s="65" t="s">
        <v>629</v>
      </c>
      <c r="BV10" s="65"/>
      <c r="BW10" s="65"/>
      <c r="BX10" s="65"/>
      <c r="BY10" s="65"/>
      <c r="BZ10" s="65"/>
      <c r="CA10" s="65"/>
      <c r="CB10" s="65"/>
    </row>
    <row r="11" spans="1:80" s="64" customFormat="1" ht="22" customHeight="1" x14ac:dyDescent="0.2">
      <c r="A11" s="53" t="s">
        <v>35</v>
      </c>
      <c r="B11" s="63">
        <f ca="1">TODAY()</f>
        <v>45935</v>
      </c>
      <c r="C11" s="69" t="s">
        <v>429</v>
      </c>
      <c r="D11" s="68" t="s">
        <v>236</v>
      </c>
      <c r="E11" s="64" t="s">
        <v>18</v>
      </c>
      <c r="F11" s="2" t="s">
        <v>111</v>
      </c>
      <c r="G11" s="65">
        <v>45505</v>
      </c>
      <c r="H11" s="65">
        <v>45869</v>
      </c>
      <c r="I11" s="66"/>
      <c r="J11" s="66"/>
      <c r="K11" s="66"/>
      <c r="L11" s="64" t="s">
        <v>118</v>
      </c>
      <c r="M11" s="67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>
        <v>45702</v>
      </c>
      <c r="AN11" s="65" t="s">
        <v>615</v>
      </c>
      <c r="AO11" s="65"/>
      <c r="AP11" s="65"/>
      <c r="AQ11" s="65"/>
      <c r="AR11" s="65"/>
      <c r="AS11" s="65">
        <v>45638</v>
      </c>
      <c r="AT11" s="65" t="s">
        <v>615</v>
      </c>
      <c r="AU11" s="65"/>
      <c r="AV11" s="65"/>
      <c r="AW11" s="65"/>
      <c r="AX11" s="65"/>
      <c r="AY11" s="65">
        <v>45584</v>
      </c>
      <c r="AZ11" s="65" t="s">
        <v>615</v>
      </c>
      <c r="BA11" s="65"/>
      <c r="BB11" s="65">
        <v>45537</v>
      </c>
      <c r="BC11" s="65" t="s">
        <v>618</v>
      </c>
      <c r="BD11" s="65"/>
      <c r="BE11" s="65"/>
      <c r="BF11" s="65"/>
      <c r="BG11" s="65"/>
      <c r="BH11" s="65"/>
      <c r="BI11" s="65"/>
      <c r="BJ11" s="65"/>
      <c r="BK11" s="65">
        <v>45472</v>
      </c>
      <c r="BL11" s="65" t="s">
        <v>621</v>
      </c>
      <c r="BM11" s="65"/>
      <c r="BN11" s="65"/>
      <c r="BO11" s="65"/>
      <c r="BP11" s="65"/>
      <c r="BQ11" s="65">
        <v>45408</v>
      </c>
      <c r="BR11" s="65" t="s">
        <v>629</v>
      </c>
      <c r="BS11" s="65"/>
      <c r="BT11" s="65"/>
      <c r="BU11" s="65"/>
      <c r="BV11" s="65"/>
      <c r="BW11" s="65">
        <v>45351</v>
      </c>
      <c r="BX11" s="65" t="s">
        <v>621</v>
      </c>
      <c r="BY11" s="65"/>
      <c r="BZ11" s="65"/>
      <c r="CA11" s="65"/>
      <c r="CB11" s="65"/>
    </row>
    <row r="12" spans="1:80" s="64" customFormat="1" ht="22" customHeight="1" x14ac:dyDescent="0.2">
      <c r="A12" s="53" t="s">
        <v>37</v>
      </c>
      <c r="B12" s="63">
        <f ca="1">TODAY()</f>
        <v>45935</v>
      </c>
      <c r="C12" s="69" t="s">
        <v>441</v>
      </c>
      <c r="D12" s="68" t="s">
        <v>268</v>
      </c>
      <c r="E12" s="64" t="s">
        <v>44</v>
      </c>
      <c r="F12" s="2" t="s">
        <v>111</v>
      </c>
      <c r="G12" s="65">
        <v>45627</v>
      </c>
      <c r="H12" s="65">
        <v>45991</v>
      </c>
      <c r="I12" s="66">
        <f ca="1">(Table26[[#This Row],[Ref Date]]-Table26[[#This Row],[Service Start Date ]])/35</f>
        <v>8.8000000000000007</v>
      </c>
      <c r="J12" s="66">
        <f>COUNTIF(Table26[[#This Row],[2025 October
Actual]:[2024 January 
Done by 2]],"&gt;=" &amp;Table26[[#This Row],[Service Start Date ]])</f>
        <v>8</v>
      </c>
      <c r="K12" s="66">
        <f ca="1">Table26[[#This Row],[Actual Services
to be done]]-Table26[[#This Row],[Completed Services]]</f>
        <v>0.80000000000000071</v>
      </c>
      <c r="L12" s="64" t="s">
        <v>119</v>
      </c>
      <c r="M12" s="67">
        <f ca="1">B12-X12</f>
        <v>66</v>
      </c>
      <c r="N12" s="65">
        <f ca="1">((B12+(-M12+35-10)))</f>
        <v>45894</v>
      </c>
      <c r="O12" s="65"/>
      <c r="P12" s="65"/>
      <c r="Q12" s="65"/>
      <c r="R12" s="65"/>
      <c r="S12" s="65"/>
      <c r="T12" s="65"/>
      <c r="U12" s="100"/>
      <c r="V12" s="100"/>
      <c r="W12" s="65"/>
      <c r="X12" s="65">
        <v>45869</v>
      </c>
      <c r="Y12" s="65" t="s">
        <v>621</v>
      </c>
      <c r="Z12" s="65"/>
      <c r="AA12" s="65">
        <v>45817</v>
      </c>
      <c r="AB12" s="65" t="s">
        <v>615</v>
      </c>
      <c r="AC12" s="65"/>
      <c r="AD12" s="65">
        <v>45783</v>
      </c>
      <c r="AE12" s="65" t="s">
        <v>615</v>
      </c>
      <c r="AF12" s="65"/>
      <c r="AG12" s="65">
        <v>45749</v>
      </c>
      <c r="AH12" s="65" t="s">
        <v>618</v>
      </c>
      <c r="AI12" s="65"/>
      <c r="AJ12" s="65">
        <v>45721</v>
      </c>
      <c r="AK12" s="65" t="s">
        <v>615</v>
      </c>
      <c r="AL12" s="65"/>
      <c r="AM12" s="65">
        <v>45699</v>
      </c>
      <c r="AN12" s="65" t="s">
        <v>615</v>
      </c>
      <c r="AO12" s="65"/>
      <c r="AP12" s="65">
        <v>45666</v>
      </c>
      <c r="AQ12" s="65" t="s">
        <v>615</v>
      </c>
      <c r="AR12" s="65"/>
      <c r="AS12" s="65">
        <v>45636</v>
      </c>
      <c r="AT12" s="65" t="s">
        <v>618</v>
      </c>
      <c r="AU12" s="65"/>
      <c r="AV12" s="65">
        <v>45610</v>
      </c>
      <c r="AW12" s="65" t="s">
        <v>615</v>
      </c>
      <c r="AX12" s="65" t="s">
        <v>618</v>
      </c>
      <c r="AY12" s="65">
        <v>45569</v>
      </c>
      <c r="AZ12" s="65" t="s">
        <v>615</v>
      </c>
      <c r="BA12" s="65"/>
      <c r="BB12" s="65">
        <v>45538</v>
      </c>
      <c r="BC12" s="65" t="s">
        <v>618</v>
      </c>
      <c r="BD12" s="65" t="s">
        <v>621</v>
      </c>
      <c r="BE12" s="65">
        <v>45509</v>
      </c>
      <c r="BF12" s="65" t="s">
        <v>615</v>
      </c>
      <c r="BG12" s="65"/>
      <c r="BH12" s="65"/>
      <c r="BI12" s="65"/>
      <c r="BJ12" s="65"/>
      <c r="BK12" s="65">
        <v>45468</v>
      </c>
      <c r="BL12" s="65" t="s">
        <v>621</v>
      </c>
      <c r="BM12" s="65"/>
      <c r="BN12" s="65"/>
      <c r="BO12" s="65"/>
      <c r="BP12" s="65"/>
      <c r="BQ12" s="65">
        <v>45391</v>
      </c>
      <c r="BR12" s="65" t="s">
        <v>629</v>
      </c>
      <c r="BS12" s="65"/>
      <c r="BT12" s="65"/>
      <c r="BU12" s="65"/>
      <c r="BV12" s="65"/>
      <c r="BW12" s="65">
        <v>45345</v>
      </c>
      <c r="BX12" s="65" t="s">
        <v>626</v>
      </c>
      <c r="BY12" s="65"/>
      <c r="BZ12" s="65">
        <v>45310</v>
      </c>
      <c r="CA12" s="65" t="s">
        <v>629</v>
      </c>
      <c r="CB12" s="65"/>
    </row>
    <row r="13" spans="1:80" s="64" customFormat="1" ht="22" customHeight="1" x14ac:dyDescent="0.2">
      <c r="A13" s="53" t="s">
        <v>37</v>
      </c>
      <c r="B13" s="63">
        <f ca="1">TODAY()</f>
        <v>45935</v>
      </c>
      <c r="C13" s="69" t="s">
        <v>442</v>
      </c>
      <c r="D13" s="68" t="s">
        <v>269</v>
      </c>
      <c r="E13" s="64" t="s">
        <v>44</v>
      </c>
      <c r="F13" s="2" t="s">
        <v>111</v>
      </c>
      <c r="G13" s="65">
        <v>45627</v>
      </c>
      <c r="H13" s="65">
        <v>45991</v>
      </c>
      <c r="I13" s="66">
        <f ca="1">(Table26[[#This Row],[Ref Date]]-Table26[[#This Row],[Service Start Date ]])/35</f>
        <v>8.8000000000000007</v>
      </c>
      <c r="J13" s="66">
        <f>COUNTIF(Table26[[#This Row],[2025 October
Actual]:[2024 January 
Done by 2]],"&gt;=" &amp;Table26[[#This Row],[Service Start Date ]])</f>
        <v>8</v>
      </c>
      <c r="K13" s="66">
        <f ca="1">Table26[[#This Row],[Actual Services
to be done]]-Table26[[#This Row],[Completed Services]]</f>
        <v>0.80000000000000071</v>
      </c>
      <c r="L13" s="64" t="s">
        <v>119</v>
      </c>
      <c r="M13" s="67">
        <f ca="1">B13-X13</f>
        <v>66</v>
      </c>
      <c r="N13" s="65">
        <f ca="1">((B13+(-M13+35-10)))</f>
        <v>45894</v>
      </c>
      <c r="O13" s="65"/>
      <c r="P13" s="65"/>
      <c r="Q13" s="65"/>
      <c r="R13" s="65"/>
      <c r="S13" s="65"/>
      <c r="T13" s="65"/>
      <c r="U13" s="100"/>
      <c r="V13" s="100"/>
      <c r="W13" s="65"/>
      <c r="X13" s="65">
        <v>45869</v>
      </c>
      <c r="Y13" s="65" t="s">
        <v>621</v>
      </c>
      <c r="Z13" s="65"/>
      <c r="AA13" s="65">
        <v>45817</v>
      </c>
      <c r="AB13" s="65" t="s">
        <v>615</v>
      </c>
      <c r="AC13" s="65"/>
      <c r="AD13" s="65">
        <v>45783</v>
      </c>
      <c r="AE13" s="65" t="s">
        <v>615</v>
      </c>
      <c r="AF13" s="65"/>
      <c r="AG13" s="65">
        <v>45749</v>
      </c>
      <c r="AH13" s="65" t="s">
        <v>618</v>
      </c>
      <c r="AI13" s="65"/>
      <c r="AJ13" s="65">
        <v>45721</v>
      </c>
      <c r="AK13" s="65" t="s">
        <v>615</v>
      </c>
      <c r="AL13" s="65"/>
      <c r="AM13" s="65">
        <v>45699</v>
      </c>
      <c r="AN13" s="65" t="s">
        <v>615</v>
      </c>
      <c r="AO13" s="65"/>
      <c r="AP13" s="65">
        <v>45666</v>
      </c>
      <c r="AQ13" s="65" t="s">
        <v>615</v>
      </c>
      <c r="AR13" s="65"/>
      <c r="AS13" s="65">
        <v>45636</v>
      </c>
      <c r="AT13" s="65" t="s">
        <v>618</v>
      </c>
      <c r="AU13" s="65"/>
      <c r="AV13" s="65">
        <v>45610</v>
      </c>
      <c r="AW13" s="65" t="s">
        <v>615</v>
      </c>
      <c r="AX13" s="65" t="s">
        <v>618</v>
      </c>
      <c r="AY13" s="65">
        <v>45569</v>
      </c>
      <c r="AZ13" s="65" t="s">
        <v>615</v>
      </c>
      <c r="BA13" s="65"/>
      <c r="BB13" s="65">
        <v>45538</v>
      </c>
      <c r="BC13" s="65" t="s">
        <v>618</v>
      </c>
      <c r="BD13" s="65" t="s">
        <v>621</v>
      </c>
      <c r="BE13" s="65">
        <v>45509</v>
      </c>
      <c r="BF13" s="65" t="s">
        <v>615</v>
      </c>
      <c r="BG13" s="65"/>
      <c r="BH13" s="65"/>
      <c r="BI13" s="65"/>
      <c r="BJ13" s="65"/>
      <c r="BK13" s="65">
        <v>45468</v>
      </c>
      <c r="BL13" s="65" t="s">
        <v>621</v>
      </c>
      <c r="BM13" s="65"/>
      <c r="BN13" s="65"/>
      <c r="BO13" s="65"/>
      <c r="BP13" s="65"/>
      <c r="BQ13" s="65">
        <v>45391</v>
      </c>
      <c r="BR13" s="65" t="s">
        <v>629</v>
      </c>
      <c r="BS13" s="65"/>
      <c r="BT13" s="65"/>
      <c r="BU13" s="65"/>
      <c r="BV13" s="65"/>
      <c r="BW13" s="65">
        <v>45345</v>
      </c>
      <c r="BX13" s="65" t="s">
        <v>626</v>
      </c>
      <c r="BY13" s="65"/>
      <c r="BZ13" s="65">
        <v>45310</v>
      </c>
      <c r="CA13" s="65" t="s">
        <v>629</v>
      </c>
      <c r="CB13" s="65"/>
    </row>
    <row r="14" spans="1:80" s="64" customFormat="1" ht="22" customHeight="1" x14ac:dyDescent="0.2">
      <c r="A14" s="53" t="s">
        <v>37</v>
      </c>
      <c r="B14" s="63">
        <f ca="1">TODAY()</f>
        <v>45935</v>
      </c>
      <c r="C14" s="69" t="s">
        <v>523</v>
      </c>
      <c r="D14" s="68" t="s">
        <v>244</v>
      </c>
      <c r="E14" s="64" t="s">
        <v>44</v>
      </c>
      <c r="F14" s="2" t="s">
        <v>111</v>
      </c>
      <c r="G14" s="65">
        <v>45659</v>
      </c>
      <c r="H14" s="65">
        <v>46023</v>
      </c>
      <c r="I14" s="66">
        <f ca="1">(Table26[[#This Row],[Ref Date]]-Table26[[#This Row],[Service Start Date ]])/35</f>
        <v>7.8857142857142861</v>
      </c>
      <c r="J14" s="66">
        <f>COUNTIF(Table26[[#This Row],[2025 October
Actual]:[2024 January 
Done by 2]],"&gt;=" &amp;Table26[[#This Row],[Service Start Date ]])</f>
        <v>8</v>
      </c>
      <c r="K14" s="66">
        <f ca="1">Table26[[#This Row],[Actual Services
to be done]]-Table26[[#This Row],[Completed Services]]</f>
        <v>-0.11428571428571388</v>
      </c>
      <c r="L14" s="64" t="s">
        <v>119</v>
      </c>
      <c r="M14" s="67">
        <f ca="1">B14-R14</f>
        <v>9</v>
      </c>
      <c r="N14" s="65">
        <f ca="1">((B14+(-M14+35)))</f>
        <v>45961</v>
      </c>
      <c r="O14" s="65"/>
      <c r="P14" s="65"/>
      <c r="Q14" s="65"/>
      <c r="R14" s="65">
        <v>45926</v>
      </c>
      <c r="S14" s="65" t="s">
        <v>618</v>
      </c>
      <c r="T14" s="65"/>
      <c r="U14" s="65">
        <v>45876</v>
      </c>
      <c r="V14" s="65" t="s">
        <v>617</v>
      </c>
      <c r="W14" s="65"/>
      <c r="X14" s="65">
        <v>45852</v>
      </c>
      <c r="Y14" s="65" t="s">
        <v>618</v>
      </c>
      <c r="Z14" s="65"/>
      <c r="AA14" s="65"/>
      <c r="AB14" s="65"/>
      <c r="AC14" s="65"/>
      <c r="AD14" s="65">
        <v>45808</v>
      </c>
      <c r="AE14" s="65" t="s">
        <v>618</v>
      </c>
      <c r="AF14" s="65"/>
      <c r="AG14" s="65">
        <v>45777</v>
      </c>
      <c r="AH14" s="65" t="s">
        <v>618</v>
      </c>
      <c r="AI14" s="65"/>
      <c r="AJ14" s="65">
        <v>45745</v>
      </c>
      <c r="AK14" s="65" t="s">
        <v>622</v>
      </c>
      <c r="AL14" s="65"/>
      <c r="AM14" s="65">
        <v>45696</v>
      </c>
      <c r="AN14" s="65" t="s">
        <v>618</v>
      </c>
      <c r="AO14" s="65"/>
      <c r="AP14" s="65">
        <v>45666</v>
      </c>
      <c r="AQ14" s="65" t="s">
        <v>615</v>
      </c>
      <c r="AR14" s="65"/>
      <c r="AS14" s="65">
        <v>45642</v>
      </c>
      <c r="AT14" s="65" t="s">
        <v>618</v>
      </c>
      <c r="AU14" s="65"/>
      <c r="AV14" s="65">
        <v>45612</v>
      </c>
      <c r="AW14" s="65" t="s">
        <v>615</v>
      </c>
      <c r="AX14" s="65"/>
      <c r="AY14" s="65">
        <v>45586</v>
      </c>
      <c r="AZ14" s="65" t="s">
        <v>618</v>
      </c>
      <c r="BA14" s="65"/>
      <c r="BB14" s="65">
        <v>45552</v>
      </c>
      <c r="BC14" s="65" t="s">
        <v>618</v>
      </c>
      <c r="BD14" s="65"/>
      <c r="BE14" s="65">
        <v>45506</v>
      </c>
      <c r="BF14" s="65" t="s">
        <v>621</v>
      </c>
      <c r="BG14" s="65"/>
      <c r="BH14" s="65"/>
      <c r="BI14" s="65"/>
      <c r="BJ14" s="65"/>
      <c r="BK14" s="65">
        <v>45446</v>
      </c>
      <c r="BL14" s="65" t="s">
        <v>621</v>
      </c>
      <c r="BM14" s="65"/>
      <c r="BN14" s="65"/>
      <c r="BO14" s="65"/>
      <c r="BP14" s="65"/>
      <c r="BQ14" s="65">
        <v>45407</v>
      </c>
      <c r="BR14" s="65" t="s">
        <v>629</v>
      </c>
      <c r="BS14" s="65"/>
      <c r="BT14" s="65"/>
      <c r="BU14" s="65"/>
      <c r="BV14" s="65"/>
      <c r="BW14" s="65">
        <v>45337</v>
      </c>
      <c r="BX14" s="65" t="s">
        <v>630</v>
      </c>
      <c r="BY14" s="65"/>
      <c r="BZ14" s="65"/>
      <c r="CA14" s="65"/>
      <c r="CB14" s="65"/>
    </row>
    <row r="15" spans="1:80" s="64" customFormat="1" ht="22" customHeight="1" x14ac:dyDescent="0.2">
      <c r="A15" s="53" t="s">
        <v>37</v>
      </c>
      <c r="B15" s="63">
        <f ca="1">TODAY()</f>
        <v>45935</v>
      </c>
      <c r="C15" s="69" t="s">
        <v>512</v>
      </c>
      <c r="D15" s="68" t="s">
        <v>320</v>
      </c>
      <c r="E15" s="64" t="s">
        <v>95</v>
      </c>
      <c r="F15" s="2" t="s">
        <v>111</v>
      </c>
      <c r="G15" s="65">
        <v>45597</v>
      </c>
      <c r="H15" s="65">
        <v>45962</v>
      </c>
      <c r="I15" s="66">
        <f ca="1">(Table26[[#This Row],[Ref Date]]-Table26[[#This Row],[Service Start Date ]])/35</f>
        <v>9.6571428571428566</v>
      </c>
      <c r="J15" s="66">
        <f>COUNTIF(Table26[[#This Row],[2025 October
Actual]:[2024 January 
Done by 2]],"&gt;=" &amp;Table26[[#This Row],[Service Start Date ]])</f>
        <v>8</v>
      </c>
      <c r="K15" s="66">
        <f ca="1">Table26[[#This Row],[Actual Services
to be done]]-Table26[[#This Row],[Completed Services]]</f>
        <v>1.6571428571428566</v>
      </c>
      <c r="L15" s="64" t="s">
        <v>119</v>
      </c>
      <c r="M15" s="67">
        <f ca="1">B15-R15</f>
        <v>13</v>
      </c>
      <c r="N15" s="65">
        <f ca="1">((B15+(-M15+35-10)))</f>
        <v>45947</v>
      </c>
      <c r="O15" s="65"/>
      <c r="P15" s="65"/>
      <c r="Q15" s="65"/>
      <c r="R15" s="65">
        <v>45922</v>
      </c>
      <c r="S15" s="65" t="s">
        <v>618</v>
      </c>
      <c r="T15" s="65"/>
      <c r="U15" s="65"/>
      <c r="V15" s="65"/>
      <c r="W15" s="65"/>
      <c r="X15" s="65">
        <v>45860</v>
      </c>
      <c r="Y15" s="65" t="s">
        <v>621</v>
      </c>
      <c r="Z15" s="65" t="s">
        <v>617</v>
      </c>
      <c r="AA15" s="65"/>
      <c r="AB15" s="65"/>
      <c r="AC15" s="65"/>
      <c r="AD15" s="65">
        <v>45800</v>
      </c>
      <c r="AE15" s="65" t="s">
        <v>615</v>
      </c>
      <c r="AF15" s="65"/>
      <c r="AG15" s="65">
        <v>45776</v>
      </c>
      <c r="AH15" s="65" t="s">
        <v>622</v>
      </c>
      <c r="AI15" s="65"/>
      <c r="AJ15" s="65">
        <v>45727</v>
      </c>
      <c r="AK15" s="65" t="s">
        <v>615</v>
      </c>
      <c r="AL15" s="65"/>
      <c r="AM15" s="65">
        <v>45702</v>
      </c>
      <c r="AN15" s="65" t="s">
        <v>615</v>
      </c>
      <c r="AO15" s="65"/>
      <c r="AP15" s="65">
        <v>45660</v>
      </c>
      <c r="AQ15" s="65" t="s">
        <v>622</v>
      </c>
      <c r="AR15" s="65"/>
      <c r="AS15" s="65"/>
      <c r="AT15" s="65"/>
      <c r="AU15" s="65"/>
      <c r="AV15" s="65">
        <v>45602</v>
      </c>
      <c r="AW15" s="65" t="s">
        <v>615</v>
      </c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>
        <v>45448</v>
      </c>
      <c r="BL15" s="65" t="s">
        <v>621</v>
      </c>
      <c r="BM15" s="65"/>
      <c r="BN15" s="65"/>
      <c r="BO15" s="65"/>
      <c r="BP15" s="65"/>
      <c r="BQ15" s="65">
        <v>45404</v>
      </c>
      <c r="BR15" s="65" t="s">
        <v>629</v>
      </c>
      <c r="BS15" s="65"/>
      <c r="BT15" s="65">
        <v>45355</v>
      </c>
      <c r="BU15" s="65" t="s">
        <v>629</v>
      </c>
      <c r="BV15" s="65"/>
      <c r="BW15" s="65"/>
      <c r="BX15" s="65"/>
      <c r="BY15" s="65"/>
      <c r="BZ15" s="65">
        <v>45310</v>
      </c>
      <c r="CA15" s="65" t="s">
        <v>629</v>
      </c>
      <c r="CB15" s="65"/>
    </row>
    <row r="16" spans="1:80" s="64" customFormat="1" ht="22" customHeight="1" x14ac:dyDescent="0.2">
      <c r="A16" s="53" t="s">
        <v>37</v>
      </c>
      <c r="B16" s="63">
        <f ca="1">TODAY()</f>
        <v>45935</v>
      </c>
      <c r="C16" s="69" t="s">
        <v>513</v>
      </c>
      <c r="D16" s="68" t="s">
        <v>335</v>
      </c>
      <c r="E16" s="64" t="s">
        <v>10</v>
      </c>
      <c r="F16" s="2" t="s">
        <v>111</v>
      </c>
      <c r="G16" s="65">
        <v>45809</v>
      </c>
      <c r="H16" s="65">
        <v>46173</v>
      </c>
      <c r="I16" s="66">
        <f ca="1">(Table26[[#This Row],[Ref Date]]-Table26[[#This Row],[Service Start Date ]])/35</f>
        <v>3.6</v>
      </c>
      <c r="J16" s="66">
        <f>COUNTIF(Table26[[#This Row],[2025 October
Actual]:[2024 January 
Done by 2]],"&gt;=" &amp;Table26[[#This Row],[Service Start Date ]])</f>
        <v>1</v>
      </c>
      <c r="K16" s="66">
        <f ca="1">Table26[[#This Row],[Actual Services
to be done]]-Table26[[#This Row],[Completed Services]]</f>
        <v>2.6</v>
      </c>
      <c r="L16" s="64" t="s">
        <v>119</v>
      </c>
      <c r="M16" s="67">
        <f ca="1">B16-R16</f>
        <v>12</v>
      </c>
      <c r="N16" s="65">
        <f ca="1">((B16+(-M16+35-10)))</f>
        <v>45948</v>
      </c>
      <c r="O16" s="65"/>
      <c r="P16" s="65"/>
      <c r="Q16" s="65"/>
      <c r="R16" s="65">
        <v>45923</v>
      </c>
      <c r="S16" s="65" t="s">
        <v>617</v>
      </c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>
        <v>45791</v>
      </c>
      <c r="AE16" s="65" t="s">
        <v>615</v>
      </c>
      <c r="AF16" s="65"/>
      <c r="AG16" s="65">
        <v>45765</v>
      </c>
      <c r="AH16" s="65" t="s">
        <v>622</v>
      </c>
      <c r="AI16" s="65"/>
      <c r="AJ16" s="65">
        <v>45720</v>
      </c>
      <c r="AK16" s="65" t="s">
        <v>615</v>
      </c>
      <c r="AL16" s="65"/>
      <c r="AM16" s="65">
        <v>45689</v>
      </c>
      <c r="AN16" s="65" t="s">
        <v>615</v>
      </c>
      <c r="AO16" s="65"/>
      <c r="AP16" s="65">
        <v>45659</v>
      </c>
      <c r="AQ16" s="65" t="s">
        <v>622</v>
      </c>
      <c r="AR16" s="65"/>
      <c r="AS16" s="65"/>
      <c r="AT16" s="65"/>
      <c r="AU16" s="65"/>
      <c r="AV16" s="65">
        <v>45614</v>
      </c>
      <c r="AW16" s="65" t="s">
        <v>622</v>
      </c>
      <c r="AX16" s="65"/>
      <c r="AY16" s="65">
        <v>45574</v>
      </c>
      <c r="AZ16" s="95" t="s">
        <v>622</v>
      </c>
      <c r="BA16" s="65"/>
      <c r="BB16" s="65">
        <v>45552</v>
      </c>
      <c r="BC16" s="65" t="s">
        <v>622</v>
      </c>
      <c r="BD16" s="65"/>
      <c r="BE16" s="65">
        <v>45513</v>
      </c>
      <c r="BF16" s="65" t="s">
        <v>622</v>
      </c>
      <c r="BG16" s="65"/>
      <c r="BH16" s="65"/>
      <c r="BI16" s="65"/>
      <c r="BJ16" s="65"/>
      <c r="BK16" s="65">
        <v>45448</v>
      </c>
      <c r="BL16" s="65" t="s">
        <v>621</v>
      </c>
      <c r="BM16" s="65"/>
      <c r="BN16" s="65"/>
      <c r="BO16" s="65"/>
      <c r="BP16" s="65"/>
      <c r="BQ16" s="65">
        <v>45406</v>
      </c>
      <c r="BR16" s="65" t="s">
        <v>629</v>
      </c>
      <c r="BS16" s="65"/>
      <c r="BT16" s="65"/>
      <c r="BU16" s="65"/>
      <c r="BV16" s="65"/>
      <c r="BW16" s="65">
        <v>45350</v>
      </c>
      <c r="BX16" s="65" t="s">
        <v>630</v>
      </c>
      <c r="BY16" s="65"/>
      <c r="BZ16" s="65">
        <v>45314</v>
      </c>
      <c r="CA16" s="65" t="s">
        <v>629</v>
      </c>
      <c r="CB16" s="65"/>
    </row>
    <row r="17" spans="1:80" s="64" customFormat="1" ht="22" customHeight="1" x14ac:dyDescent="0.2">
      <c r="A17" s="53" t="s">
        <v>35</v>
      </c>
      <c r="B17" s="63">
        <f ca="1">TODAY()</f>
        <v>45935</v>
      </c>
      <c r="C17" s="69" t="s">
        <v>559</v>
      </c>
      <c r="D17" s="68" t="s">
        <v>277</v>
      </c>
      <c r="E17" s="64" t="s">
        <v>106</v>
      </c>
      <c r="F17" s="2" t="s">
        <v>112</v>
      </c>
      <c r="G17" s="65">
        <v>45901</v>
      </c>
      <c r="H17" s="65">
        <v>46266</v>
      </c>
      <c r="I17" s="66"/>
      <c r="J17" s="66"/>
      <c r="K17" s="66"/>
      <c r="L17" s="64" t="s">
        <v>119</v>
      </c>
      <c r="M17" s="67">
        <f ca="1">B17-R17</f>
        <v>8</v>
      </c>
      <c r="N17" s="65"/>
      <c r="O17" s="65"/>
      <c r="P17" s="65"/>
      <c r="Q17" s="65"/>
      <c r="R17" s="65">
        <v>45927</v>
      </c>
      <c r="S17" s="65" t="s">
        <v>615</v>
      </c>
      <c r="T17" s="65"/>
      <c r="U17" s="65"/>
      <c r="V17" s="65"/>
      <c r="W17" s="65"/>
      <c r="X17" s="65"/>
      <c r="Y17" s="65"/>
      <c r="Z17" s="65"/>
      <c r="AA17" s="65">
        <v>45838</v>
      </c>
      <c r="AB17" s="65" t="s">
        <v>618</v>
      </c>
      <c r="AC17" s="65"/>
      <c r="AD17" s="65">
        <v>45803</v>
      </c>
      <c r="AE17" s="65" t="s">
        <v>615</v>
      </c>
      <c r="AF17" s="65"/>
      <c r="AG17" s="65">
        <v>45768</v>
      </c>
      <c r="AH17" s="65" t="s">
        <v>615</v>
      </c>
      <c r="AI17" s="65"/>
      <c r="AJ17" s="65">
        <v>45721</v>
      </c>
      <c r="AK17" s="65" t="s">
        <v>618</v>
      </c>
      <c r="AL17" s="65"/>
      <c r="AM17" s="65">
        <v>45693</v>
      </c>
      <c r="AN17" s="65" t="s">
        <v>615</v>
      </c>
      <c r="AO17" s="65"/>
      <c r="AP17" s="65">
        <v>45659</v>
      </c>
      <c r="AQ17" s="65" t="s">
        <v>615</v>
      </c>
      <c r="AR17" s="65"/>
      <c r="AS17" s="65"/>
      <c r="AT17" s="65"/>
      <c r="AU17" s="65"/>
      <c r="AV17" s="65">
        <v>45614</v>
      </c>
      <c r="AW17" s="65" t="s">
        <v>615</v>
      </c>
      <c r="AX17" s="65"/>
      <c r="AY17" s="65">
        <v>45584</v>
      </c>
      <c r="AZ17" s="65" t="s">
        <v>618</v>
      </c>
      <c r="BA17" s="65"/>
      <c r="BB17" s="65">
        <v>45554</v>
      </c>
      <c r="BC17" s="65" t="s">
        <v>622</v>
      </c>
      <c r="BD17" s="65"/>
      <c r="BE17" s="65">
        <v>45527</v>
      </c>
      <c r="BF17" s="65" t="s">
        <v>618</v>
      </c>
      <c r="BG17" s="65"/>
      <c r="BH17" s="65"/>
      <c r="BI17" s="65"/>
      <c r="BJ17" s="65"/>
      <c r="BK17" s="65">
        <v>45449</v>
      </c>
      <c r="BL17" s="65" t="s">
        <v>621</v>
      </c>
      <c r="BM17" s="65"/>
      <c r="BN17" s="65"/>
      <c r="BO17" s="65"/>
      <c r="BP17" s="65"/>
      <c r="BQ17" s="65">
        <v>45397</v>
      </c>
      <c r="BR17" s="65" t="s">
        <v>629</v>
      </c>
      <c r="BS17" s="65"/>
      <c r="BT17" s="65"/>
      <c r="BU17" s="65"/>
      <c r="BV17" s="65"/>
      <c r="BW17" s="65">
        <v>45351</v>
      </c>
      <c r="BX17" s="65" t="s">
        <v>631</v>
      </c>
      <c r="BY17" s="65"/>
      <c r="BZ17" s="65"/>
      <c r="CA17" s="65"/>
      <c r="CB17" s="65"/>
    </row>
    <row r="18" spans="1:80" s="64" customFormat="1" ht="22" customHeight="1" x14ac:dyDescent="0.2">
      <c r="A18" s="53" t="s">
        <v>37</v>
      </c>
      <c r="B18" s="63">
        <f ca="1">TODAY()</f>
        <v>45935</v>
      </c>
      <c r="C18" s="69" t="s">
        <v>567</v>
      </c>
      <c r="D18" s="68" t="s">
        <v>416</v>
      </c>
      <c r="E18" s="64" t="s">
        <v>2</v>
      </c>
      <c r="F18" s="2" t="s">
        <v>113</v>
      </c>
      <c r="G18" s="65">
        <v>45568</v>
      </c>
      <c r="H18" s="65">
        <v>45932</v>
      </c>
      <c r="I18" s="66">
        <v>10</v>
      </c>
      <c r="J18" s="66">
        <f>COUNTIF(Table26[[#This Row],[2025 October
Actual]:[2024 January 
Done by 2]],"&gt;=" &amp;Table26[[#This Row],[Service Start Date ]])</f>
        <v>9</v>
      </c>
      <c r="K18" s="66">
        <f>Table26[[#This Row],[Actual Services
to be done]]-Table26[[#This Row],[Completed Services]]</f>
        <v>1</v>
      </c>
      <c r="L18" s="64" t="s">
        <v>119</v>
      </c>
      <c r="M18" s="67">
        <f ca="1">B18-R18</f>
        <v>26</v>
      </c>
      <c r="N18" s="65">
        <f ca="1">((B18+(-M18+35-10)))</f>
        <v>45934</v>
      </c>
      <c r="O18" s="65"/>
      <c r="P18" s="65"/>
      <c r="Q18" s="65"/>
      <c r="R18" s="65">
        <v>45909</v>
      </c>
      <c r="S18" s="65" t="s">
        <v>618</v>
      </c>
      <c r="T18" s="65"/>
      <c r="U18" s="65"/>
      <c r="V18" s="65"/>
      <c r="W18" s="65"/>
      <c r="X18" s="65">
        <v>45855</v>
      </c>
      <c r="Y18" s="65" t="s">
        <v>618</v>
      </c>
      <c r="Z18" s="65"/>
      <c r="AA18" s="65"/>
      <c r="AB18" s="65"/>
      <c r="AC18" s="65"/>
      <c r="AD18" s="65">
        <v>45801</v>
      </c>
      <c r="AE18" s="65" t="s">
        <v>615</v>
      </c>
      <c r="AF18" s="65"/>
      <c r="AG18" s="65">
        <v>45751</v>
      </c>
      <c r="AH18" s="65" t="s">
        <v>622</v>
      </c>
      <c r="AI18" s="65"/>
      <c r="AJ18" s="65">
        <v>45726</v>
      </c>
      <c r="AK18" s="65" t="s">
        <v>618</v>
      </c>
      <c r="AL18" s="65"/>
      <c r="AM18" s="65">
        <v>45705</v>
      </c>
      <c r="AN18" s="65" t="s">
        <v>622</v>
      </c>
      <c r="AO18" s="65"/>
      <c r="AP18" s="65">
        <v>45684</v>
      </c>
      <c r="AQ18" s="65" t="s">
        <v>622</v>
      </c>
      <c r="AR18" s="65"/>
      <c r="AS18" s="65"/>
      <c r="AT18" s="65"/>
      <c r="AU18" s="65"/>
      <c r="AV18" s="65">
        <v>45617</v>
      </c>
      <c r="AW18" s="65" t="s">
        <v>622</v>
      </c>
      <c r="AX18" s="65"/>
      <c r="AY18" s="65">
        <v>45584</v>
      </c>
      <c r="AZ18" s="95" t="s">
        <v>622</v>
      </c>
      <c r="BA18" s="65"/>
      <c r="BB18" s="65">
        <v>45561</v>
      </c>
      <c r="BC18" s="65" t="s">
        <v>622</v>
      </c>
      <c r="BD18" s="65"/>
      <c r="BE18" s="65">
        <v>45532</v>
      </c>
      <c r="BF18" s="65" t="s">
        <v>618</v>
      </c>
      <c r="BG18" s="65"/>
      <c r="BH18" s="65"/>
      <c r="BI18" s="65"/>
      <c r="BJ18" s="65"/>
      <c r="BK18" s="65">
        <v>45450</v>
      </c>
      <c r="BL18" s="65" t="s">
        <v>621</v>
      </c>
      <c r="BM18" s="65"/>
      <c r="BN18" s="65"/>
      <c r="BO18" s="65"/>
      <c r="BP18" s="65"/>
      <c r="BQ18" s="65"/>
      <c r="BR18" s="65"/>
      <c r="BS18" s="65"/>
      <c r="BT18" s="65">
        <v>45364</v>
      </c>
      <c r="BU18" s="65" t="s">
        <v>629</v>
      </c>
      <c r="BV18" s="65"/>
      <c r="BW18" s="65"/>
      <c r="BX18" s="65"/>
      <c r="BY18" s="65"/>
      <c r="BZ18" s="65">
        <v>45301</v>
      </c>
      <c r="CA18" s="65" t="s">
        <v>629</v>
      </c>
      <c r="CB18" s="65"/>
    </row>
    <row r="19" spans="1:80" s="64" customFormat="1" ht="22" customHeight="1" x14ac:dyDescent="0.2">
      <c r="A19" s="53" t="s">
        <v>37</v>
      </c>
      <c r="B19" s="63">
        <f ca="1">TODAY()</f>
        <v>45935</v>
      </c>
      <c r="C19" s="69" t="s">
        <v>548</v>
      </c>
      <c r="D19" s="68" t="s">
        <v>267</v>
      </c>
      <c r="E19" s="64" t="s">
        <v>18</v>
      </c>
      <c r="F19" s="2" t="s">
        <v>112</v>
      </c>
      <c r="G19" s="65">
        <v>45839</v>
      </c>
      <c r="H19" s="65">
        <v>46203</v>
      </c>
      <c r="I19" s="66">
        <f ca="1">(Table26[[#This Row],[Ref Date]]-Table26[[#This Row],[Service Start Date ]])/35</f>
        <v>2.7428571428571429</v>
      </c>
      <c r="J19" s="66">
        <f>COUNTIF(Table26[[#This Row],[2025 October
Actual]:[2024 January 
Done by 2]],"&gt;=" &amp;Table26[[#This Row],[Service Start Date ]])</f>
        <v>2</v>
      </c>
      <c r="K19" s="66">
        <f ca="1">Table26[[#This Row],[Actual Services
to be done]]-Table26[[#This Row],[Completed Services]]</f>
        <v>0.74285714285714288</v>
      </c>
      <c r="L19" s="64" t="s">
        <v>119</v>
      </c>
      <c r="M19" s="67">
        <f ca="1">B19-R19</f>
        <v>6</v>
      </c>
      <c r="N19" s="65">
        <f ca="1">((B19+(-M19+35-10)))</f>
        <v>45954</v>
      </c>
      <c r="O19" s="65"/>
      <c r="P19" s="65"/>
      <c r="Q19" s="65"/>
      <c r="R19" s="65">
        <v>45929</v>
      </c>
      <c r="S19" s="65" t="s">
        <v>615</v>
      </c>
      <c r="T19" s="65"/>
      <c r="U19" s="65"/>
      <c r="V19" s="65"/>
      <c r="W19" s="65"/>
      <c r="X19" s="65">
        <v>45847</v>
      </c>
      <c r="Y19" s="65" t="s">
        <v>618</v>
      </c>
      <c r="Z19" s="65"/>
      <c r="AA19" s="65"/>
      <c r="AB19" s="65"/>
      <c r="AC19" s="65"/>
      <c r="AD19" s="65">
        <v>45786</v>
      </c>
      <c r="AE19" s="65" t="s">
        <v>615</v>
      </c>
      <c r="AF19" s="65"/>
      <c r="AG19" s="65"/>
      <c r="AH19" s="65"/>
      <c r="AI19" s="65"/>
      <c r="AJ19" s="65">
        <v>45735</v>
      </c>
      <c r="AK19" s="65" t="s">
        <v>615</v>
      </c>
      <c r="AL19" s="65"/>
      <c r="AM19" s="65"/>
      <c r="AN19" s="65"/>
      <c r="AO19" s="65"/>
      <c r="AP19" s="65">
        <v>45685</v>
      </c>
      <c r="AQ19" s="65" t="s">
        <v>615</v>
      </c>
      <c r="AR19" s="65"/>
      <c r="AS19" s="65"/>
      <c r="AT19" s="65"/>
      <c r="AU19" s="65"/>
      <c r="AV19" s="65">
        <v>45624</v>
      </c>
      <c r="AW19" s="65" t="s">
        <v>615</v>
      </c>
      <c r="AX19" s="65"/>
      <c r="AY19" s="65">
        <v>45572</v>
      </c>
      <c r="AZ19" s="65" t="s">
        <v>618</v>
      </c>
      <c r="BA19" s="65"/>
      <c r="BB19" s="65"/>
      <c r="BC19" s="65"/>
      <c r="BD19" s="65"/>
      <c r="BE19" s="65">
        <v>45526</v>
      </c>
      <c r="BF19" s="65" t="s">
        <v>618</v>
      </c>
      <c r="BG19" s="65"/>
      <c r="BH19" s="65"/>
      <c r="BI19" s="65"/>
      <c r="BJ19" s="65"/>
      <c r="BK19" s="65">
        <v>45469</v>
      </c>
      <c r="BL19" s="65" t="s">
        <v>621</v>
      </c>
      <c r="BM19" s="65"/>
      <c r="BN19" s="65"/>
      <c r="BO19" s="65"/>
      <c r="BP19" s="65"/>
      <c r="BQ19" s="65"/>
      <c r="BR19" s="65"/>
      <c r="BS19" s="65"/>
      <c r="BT19" s="65">
        <v>45365</v>
      </c>
      <c r="BU19" s="65" t="s">
        <v>626</v>
      </c>
      <c r="BV19" s="65"/>
      <c r="BW19" s="65"/>
      <c r="BX19" s="65"/>
      <c r="BY19" s="65"/>
      <c r="BZ19" s="65"/>
      <c r="CA19" s="65"/>
      <c r="CB19" s="65"/>
    </row>
    <row r="20" spans="1:80" s="64" customFormat="1" ht="22" customHeight="1" x14ac:dyDescent="0.2">
      <c r="A20" s="53" t="s">
        <v>38</v>
      </c>
      <c r="B20" s="63">
        <f ca="1">TODAY()</f>
        <v>45935</v>
      </c>
      <c r="C20" s="69" t="s">
        <v>597</v>
      </c>
      <c r="D20" s="68" t="s">
        <v>231</v>
      </c>
      <c r="E20" s="64" t="s">
        <v>28</v>
      </c>
      <c r="F20" s="2" t="s">
        <v>113</v>
      </c>
      <c r="G20" s="65">
        <v>45536</v>
      </c>
      <c r="H20" s="65">
        <v>45900</v>
      </c>
      <c r="I20" s="66">
        <v>6</v>
      </c>
      <c r="J20" s="66">
        <f>COUNTIF(Table26[[#This Row],[2025 October
Actual]:[2024 January 
Done by 2]],"&gt;=" &amp;Table26[[#This Row],[Service Start Date ]])</f>
        <v>9</v>
      </c>
      <c r="K20" s="66">
        <f>Table26[[#This Row],[Actual Services
to be done]]-Table26[[#This Row],[Completed Services]]</f>
        <v>-3</v>
      </c>
      <c r="L20" s="64" t="s">
        <v>118</v>
      </c>
      <c r="M20" s="67">
        <f ca="1">B20-R20</f>
        <v>6</v>
      </c>
      <c r="N20" s="65">
        <f ca="1">((B20+(-M20+60+20)))</f>
        <v>46009</v>
      </c>
      <c r="O20" s="65"/>
      <c r="P20" s="65"/>
      <c r="Q20" s="65"/>
      <c r="R20" s="65">
        <v>45929</v>
      </c>
      <c r="S20" s="65" t="s">
        <v>617</v>
      </c>
      <c r="T20" s="65"/>
      <c r="U20" s="65"/>
      <c r="V20" s="65"/>
      <c r="W20" s="65"/>
      <c r="X20" s="65">
        <v>45855</v>
      </c>
      <c r="Y20" s="65" t="s">
        <v>620</v>
      </c>
      <c r="Z20" s="65"/>
      <c r="AA20" s="65"/>
      <c r="AB20" s="65"/>
      <c r="AC20" s="65"/>
      <c r="AD20" s="65"/>
      <c r="AE20" s="65"/>
      <c r="AF20" s="65"/>
      <c r="AG20" s="65">
        <v>45763</v>
      </c>
      <c r="AH20" s="65" t="s">
        <v>622</v>
      </c>
      <c r="AI20" s="65"/>
      <c r="AJ20" s="65"/>
      <c r="AK20" s="65"/>
      <c r="AL20" s="65"/>
      <c r="AM20" s="65">
        <v>45702</v>
      </c>
      <c r="AN20" s="65" t="s">
        <v>620</v>
      </c>
      <c r="AO20" s="65"/>
      <c r="AP20" s="65">
        <v>45680</v>
      </c>
      <c r="AQ20" s="65" t="s">
        <v>620</v>
      </c>
      <c r="AR20" s="65"/>
      <c r="AS20" s="65">
        <v>45639</v>
      </c>
      <c r="AT20" s="65" t="s">
        <v>620</v>
      </c>
      <c r="AU20" s="65"/>
      <c r="AV20" s="65">
        <v>45617</v>
      </c>
      <c r="AW20" s="65" t="s">
        <v>620</v>
      </c>
      <c r="AX20" s="65"/>
      <c r="AY20" s="65">
        <v>45584</v>
      </c>
      <c r="AZ20" s="65" t="s">
        <v>615</v>
      </c>
      <c r="BA20" s="65"/>
      <c r="BB20" s="65">
        <v>45560</v>
      </c>
      <c r="BC20" s="65" t="s">
        <v>615</v>
      </c>
      <c r="BD20" s="65"/>
      <c r="BE20" s="65">
        <v>45534</v>
      </c>
      <c r="BF20" s="65" t="s">
        <v>615</v>
      </c>
      <c r="BG20" s="65"/>
      <c r="BH20" s="65"/>
      <c r="BI20" s="65"/>
      <c r="BJ20" s="65"/>
      <c r="BK20" s="65">
        <v>45460</v>
      </c>
      <c r="BL20" s="65" t="s">
        <v>624</v>
      </c>
      <c r="BM20" s="65"/>
      <c r="BN20" s="65"/>
      <c r="BO20" s="65"/>
      <c r="BP20" s="65"/>
      <c r="BQ20" s="65"/>
      <c r="BR20" s="65"/>
      <c r="BS20" s="65"/>
      <c r="BT20" s="65">
        <v>45373</v>
      </c>
      <c r="BU20" s="65" t="s">
        <v>629</v>
      </c>
      <c r="BV20" s="65"/>
      <c r="BW20" s="65"/>
      <c r="BX20" s="65"/>
      <c r="BY20" s="65"/>
      <c r="BZ20" s="65">
        <v>45316</v>
      </c>
      <c r="CA20" s="65" t="s">
        <v>629</v>
      </c>
      <c r="CB20" s="65"/>
    </row>
    <row r="21" spans="1:80" s="64" customFormat="1" ht="22" customHeight="1" x14ac:dyDescent="0.2">
      <c r="A21" s="53" t="s">
        <v>35</v>
      </c>
      <c r="B21" s="63">
        <f ca="1">TODAY()</f>
        <v>45935</v>
      </c>
      <c r="C21" s="69" t="s">
        <v>492</v>
      </c>
      <c r="D21" s="68" t="s">
        <v>239</v>
      </c>
      <c r="E21" s="64" t="s">
        <v>28</v>
      </c>
      <c r="F21" s="2" t="s">
        <v>112</v>
      </c>
      <c r="G21" s="65">
        <v>45493</v>
      </c>
      <c r="H21" s="65">
        <v>45858</v>
      </c>
      <c r="I21" s="66"/>
      <c r="J21" s="66"/>
      <c r="K21" s="66"/>
      <c r="L21" s="64" t="s">
        <v>119</v>
      </c>
      <c r="M21" s="67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>
        <v>45730</v>
      </c>
      <c r="AK21" s="65" t="s">
        <v>622</v>
      </c>
      <c r="AL21" s="65"/>
      <c r="AM21" s="65">
        <v>45712</v>
      </c>
      <c r="AN21" s="65" t="s">
        <v>622</v>
      </c>
      <c r="AO21" s="65"/>
      <c r="AP21" s="65">
        <v>45688</v>
      </c>
      <c r="AQ21" s="65" t="s">
        <v>622</v>
      </c>
      <c r="AR21" s="65"/>
      <c r="AS21" s="65">
        <v>45654</v>
      </c>
      <c r="AT21" s="65" t="s">
        <v>620</v>
      </c>
      <c r="AU21" s="65"/>
      <c r="AV21" s="65">
        <v>45610</v>
      </c>
      <c r="AW21" s="65" t="s">
        <v>620</v>
      </c>
      <c r="AX21" s="65"/>
      <c r="AY21" s="65">
        <v>45579</v>
      </c>
      <c r="AZ21" s="65" t="s">
        <v>615</v>
      </c>
      <c r="BA21" s="65"/>
      <c r="BB21" s="65">
        <v>45552</v>
      </c>
      <c r="BC21" s="65" t="s">
        <v>615</v>
      </c>
      <c r="BD21" s="65"/>
      <c r="BE21" s="65">
        <v>45518</v>
      </c>
      <c r="BF21" s="65" t="s">
        <v>615</v>
      </c>
      <c r="BG21" s="65"/>
      <c r="BH21" s="65"/>
      <c r="BI21" s="65"/>
      <c r="BJ21" s="65"/>
      <c r="BK21" s="65">
        <v>45460</v>
      </c>
      <c r="BL21" s="65" t="s">
        <v>624</v>
      </c>
      <c r="BM21" s="65"/>
      <c r="BN21" s="65"/>
      <c r="BO21" s="65"/>
      <c r="BP21" s="65"/>
      <c r="BQ21" s="65"/>
      <c r="BR21" s="65"/>
      <c r="BS21" s="65"/>
      <c r="BT21" s="65">
        <v>45355</v>
      </c>
      <c r="BU21" s="65" t="s">
        <v>629</v>
      </c>
      <c r="BV21" s="65"/>
      <c r="BW21" s="65"/>
      <c r="BX21" s="65"/>
      <c r="BY21" s="65"/>
      <c r="BZ21" s="65">
        <v>45301</v>
      </c>
      <c r="CA21" s="65" t="s">
        <v>629</v>
      </c>
      <c r="CB21" s="65"/>
    </row>
    <row r="22" spans="1:80" s="64" customFormat="1" ht="22" customHeight="1" x14ac:dyDescent="0.2">
      <c r="A22" s="53" t="s">
        <v>37</v>
      </c>
      <c r="B22" s="63">
        <f ca="1">TODAY()</f>
        <v>45935</v>
      </c>
      <c r="C22" s="69" t="s">
        <v>499</v>
      </c>
      <c r="D22" s="68" t="s">
        <v>271</v>
      </c>
      <c r="E22" s="126" t="s">
        <v>93</v>
      </c>
      <c r="F22" s="2" t="s">
        <v>113</v>
      </c>
      <c r="G22" s="65">
        <v>45779</v>
      </c>
      <c r="H22" s="65">
        <v>46143</v>
      </c>
      <c r="I22" s="66">
        <f ca="1">(Table26[[#This Row],[Ref Date]]-Table26[[#This Row],[Service Start Date ]])/60</f>
        <v>2.6</v>
      </c>
      <c r="J22" s="66">
        <f>COUNTIF(Table26[[#This Row],[2025 October
Actual]:[2024 January 
Done by 2]],"&gt;=" &amp;Table26[[#This Row],[Service Start Date ]])</f>
        <v>3</v>
      </c>
      <c r="K22" s="66">
        <f ca="1">Table26[[#This Row],[Actual Services
to be done]]-Table26[[#This Row],[Completed Services]]</f>
        <v>-0.39999999999999991</v>
      </c>
      <c r="L22" s="64" t="s">
        <v>118</v>
      </c>
      <c r="M22" s="67">
        <f ca="1">B22-R22</f>
        <v>11</v>
      </c>
      <c r="N22" s="65">
        <f ca="1">((B22+(-M22+60)))</f>
        <v>45984</v>
      </c>
      <c r="O22" s="65"/>
      <c r="P22" s="65"/>
      <c r="Q22" s="65"/>
      <c r="R22" s="65">
        <v>45924</v>
      </c>
      <c r="S22" s="65" t="s">
        <v>620</v>
      </c>
      <c r="T22" s="65"/>
      <c r="U22" s="65"/>
      <c r="V22" s="65"/>
      <c r="W22" s="65"/>
      <c r="X22" s="65">
        <v>45852</v>
      </c>
      <c r="Y22" s="65" t="s">
        <v>620</v>
      </c>
      <c r="Z22" s="65"/>
      <c r="AA22" s="65">
        <v>45814</v>
      </c>
      <c r="AB22" s="65" t="s">
        <v>618</v>
      </c>
      <c r="AC22" s="65"/>
      <c r="AD22" s="65"/>
      <c r="AE22" s="65"/>
      <c r="AF22" s="65"/>
      <c r="AG22" s="65"/>
      <c r="AH22" s="65"/>
      <c r="AI22" s="65"/>
      <c r="AJ22" s="65">
        <v>45724</v>
      </c>
      <c r="AK22" s="65" t="s">
        <v>622</v>
      </c>
      <c r="AL22" s="65"/>
      <c r="AM22" s="65"/>
      <c r="AN22" s="65"/>
      <c r="AO22" s="65"/>
      <c r="AP22" s="65">
        <v>45686</v>
      </c>
      <c r="AQ22" s="65" t="s">
        <v>622</v>
      </c>
      <c r="AR22" s="65"/>
      <c r="AS22" s="65">
        <v>45635</v>
      </c>
      <c r="AT22" s="65" t="s">
        <v>620</v>
      </c>
      <c r="AU22" s="65"/>
      <c r="AV22" s="65">
        <v>45619</v>
      </c>
      <c r="AW22" s="65" t="s">
        <v>622</v>
      </c>
      <c r="AX22" s="65"/>
      <c r="AY22" s="65"/>
      <c r="AZ22" s="65"/>
      <c r="BA22" s="65"/>
      <c r="BB22" s="65">
        <v>45560</v>
      </c>
      <c r="BC22" s="65" t="s">
        <v>622</v>
      </c>
      <c r="BD22" s="65"/>
      <c r="BE22" s="65"/>
      <c r="BF22" s="65"/>
      <c r="BG22" s="65"/>
      <c r="BH22" s="65"/>
      <c r="BI22" s="65"/>
      <c r="BJ22" s="65"/>
      <c r="BK22" s="65">
        <v>45462</v>
      </c>
      <c r="BL22" s="65" t="s">
        <v>624</v>
      </c>
      <c r="BM22" s="65"/>
      <c r="BN22" s="65"/>
      <c r="BO22" s="65"/>
      <c r="BP22" s="65"/>
      <c r="BQ22" s="65">
        <v>45392</v>
      </c>
      <c r="BR22" s="65" t="s">
        <v>629</v>
      </c>
      <c r="BS22" s="65"/>
      <c r="BT22" s="65"/>
      <c r="BU22" s="65"/>
      <c r="BV22" s="65"/>
      <c r="BW22" s="65">
        <v>45323</v>
      </c>
      <c r="BX22" s="65" t="s">
        <v>629</v>
      </c>
      <c r="BY22" s="65"/>
      <c r="BZ22" s="65"/>
      <c r="CA22" s="65"/>
      <c r="CB22" s="65"/>
    </row>
    <row r="23" spans="1:80" s="64" customFormat="1" ht="22" customHeight="1" x14ac:dyDescent="0.2">
      <c r="A23" s="53" t="s">
        <v>37</v>
      </c>
      <c r="B23" s="63">
        <f ca="1">TODAY()</f>
        <v>45935</v>
      </c>
      <c r="C23" s="69" t="s">
        <v>472</v>
      </c>
      <c r="D23" s="68" t="s">
        <v>274</v>
      </c>
      <c r="E23" s="64" t="s">
        <v>2</v>
      </c>
      <c r="F23" s="2" t="s">
        <v>112</v>
      </c>
      <c r="G23" s="65">
        <v>45749</v>
      </c>
      <c r="H23" s="65">
        <v>46113</v>
      </c>
      <c r="I23" s="66">
        <f ca="1">(Table26[[#This Row],[Ref Date]]-Table26[[#This Row],[Service Start Date ]])/35</f>
        <v>5.3142857142857141</v>
      </c>
      <c r="J23" s="66">
        <f>COUNTIF(Table26[[#This Row],[2025 October
Actual]:[2024 January 
Done by 2]],"&gt;=" &amp;Table26[[#This Row],[Service Start Date ]])</f>
        <v>4</v>
      </c>
      <c r="K23" s="66">
        <f ca="1">Table26[[#This Row],[Actual Services
to be done]]-Table26[[#This Row],[Completed Services]]</f>
        <v>1.3142857142857141</v>
      </c>
      <c r="L23" s="64" t="s">
        <v>119</v>
      </c>
      <c r="M23" s="67">
        <f ca="1">B23-R23</f>
        <v>9</v>
      </c>
      <c r="N23" s="65">
        <f ca="1">((B23+(-M23+35-10)))</f>
        <v>45951</v>
      </c>
      <c r="O23" s="65"/>
      <c r="P23" s="65"/>
      <c r="Q23" s="65"/>
      <c r="R23" s="65">
        <v>45926</v>
      </c>
      <c r="S23" s="65" t="s">
        <v>617</v>
      </c>
      <c r="T23" s="65"/>
      <c r="U23" s="65"/>
      <c r="V23" s="65"/>
      <c r="W23" s="65"/>
      <c r="X23" s="65">
        <v>45859</v>
      </c>
      <c r="Y23" s="65" t="s">
        <v>620</v>
      </c>
      <c r="Z23" s="65"/>
      <c r="AA23" s="65"/>
      <c r="AB23" s="65"/>
      <c r="AC23" s="65"/>
      <c r="AD23" s="65">
        <v>45786</v>
      </c>
      <c r="AE23" s="65" t="s">
        <v>622</v>
      </c>
      <c r="AF23" s="65"/>
      <c r="AG23" s="65">
        <v>45750</v>
      </c>
      <c r="AH23" s="65" t="s">
        <v>622</v>
      </c>
      <c r="AI23" s="65"/>
      <c r="AJ23" s="65">
        <v>45720</v>
      </c>
      <c r="AK23" s="65" t="s">
        <v>622</v>
      </c>
      <c r="AL23" s="65"/>
      <c r="AM23" s="65">
        <v>45701</v>
      </c>
      <c r="AN23" s="65" t="s">
        <v>622</v>
      </c>
      <c r="AO23" s="65"/>
      <c r="AP23" s="65">
        <v>45681</v>
      </c>
      <c r="AQ23" s="65" t="s">
        <v>622</v>
      </c>
      <c r="AR23" s="65"/>
      <c r="AS23" s="65">
        <v>45656</v>
      </c>
      <c r="AT23" s="65" t="s">
        <v>622</v>
      </c>
      <c r="AU23" s="65"/>
      <c r="AV23" s="65">
        <v>45616</v>
      </c>
      <c r="AW23" s="65" t="s">
        <v>622</v>
      </c>
      <c r="AX23" s="65"/>
      <c r="AY23" s="65">
        <v>45584</v>
      </c>
      <c r="AZ23" s="95" t="s">
        <v>622</v>
      </c>
      <c r="BA23" s="65"/>
      <c r="BB23" s="65">
        <v>45561</v>
      </c>
      <c r="BC23" s="65" t="s">
        <v>622</v>
      </c>
      <c r="BD23" s="65"/>
      <c r="BE23" s="65">
        <v>45532</v>
      </c>
      <c r="BF23" s="65" t="s">
        <v>618</v>
      </c>
      <c r="BG23" s="65"/>
      <c r="BH23" s="65"/>
      <c r="BI23" s="65"/>
      <c r="BJ23" s="65"/>
      <c r="BK23" s="65">
        <v>45458</v>
      </c>
      <c r="BL23" s="65" t="s">
        <v>624</v>
      </c>
      <c r="BM23" s="65"/>
      <c r="BN23" s="65"/>
      <c r="BO23" s="65"/>
      <c r="BP23" s="65"/>
      <c r="BQ23" s="65">
        <v>45392</v>
      </c>
      <c r="BR23" s="65" t="s">
        <v>629</v>
      </c>
      <c r="BS23" s="65"/>
      <c r="BT23" s="65"/>
      <c r="BU23" s="65"/>
      <c r="BV23" s="65"/>
      <c r="BW23" s="65">
        <v>45348</v>
      </c>
      <c r="BX23" s="65" t="s">
        <v>631</v>
      </c>
      <c r="BY23" s="65"/>
      <c r="BZ23" s="65">
        <v>45301</v>
      </c>
      <c r="CA23" s="65" t="s">
        <v>629</v>
      </c>
      <c r="CB23" s="65"/>
    </row>
    <row r="24" spans="1:80" s="64" customFormat="1" ht="22" customHeight="1" x14ac:dyDescent="0.2">
      <c r="A24" s="53" t="s">
        <v>37</v>
      </c>
      <c r="B24" s="63">
        <f ca="1">TODAY()</f>
        <v>45935</v>
      </c>
      <c r="C24" s="69" t="s">
        <v>561</v>
      </c>
      <c r="D24" s="68" t="s">
        <v>280</v>
      </c>
      <c r="E24" s="64" t="s">
        <v>115</v>
      </c>
      <c r="F24" s="2" t="s">
        <v>113</v>
      </c>
      <c r="G24" s="65">
        <v>45627</v>
      </c>
      <c r="H24" s="65">
        <v>45991</v>
      </c>
      <c r="I24" s="66">
        <f ca="1">(Table26[[#This Row],[Ref Date]]-Table26[[#This Row],[Service Start Date ]])/35</f>
        <v>8.8000000000000007</v>
      </c>
      <c r="J24" s="66">
        <f>COUNTIF(Table26[[#This Row],[2025 October
Actual]:[2024 January 
Done by 2]],"&gt;=" &amp;Table26[[#This Row],[Service Start Date ]])</f>
        <v>6</v>
      </c>
      <c r="K24" s="66">
        <f ca="1">Table26[[#This Row],[Actual Services
to be done]]-Table26[[#This Row],[Completed Services]]</f>
        <v>2.8000000000000007</v>
      </c>
      <c r="L24" s="64" t="s">
        <v>119</v>
      </c>
      <c r="M24" s="67">
        <f ca="1">B24-R24</f>
        <v>24</v>
      </c>
      <c r="N24" s="65">
        <f ca="1">((B24+(-M24+35-10)))</f>
        <v>45936</v>
      </c>
      <c r="O24" s="65"/>
      <c r="P24" s="65"/>
      <c r="Q24" s="65"/>
      <c r="R24" s="65">
        <v>45911</v>
      </c>
      <c r="S24" s="65" t="s">
        <v>621</v>
      </c>
      <c r="T24" s="65"/>
      <c r="U24" s="65"/>
      <c r="V24" s="65"/>
      <c r="W24" s="65"/>
      <c r="X24" s="65">
        <v>45852</v>
      </c>
      <c r="Y24" s="65" t="s">
        <v>620</v>
      </c>
      <c r="Z24" s="65"/>
      <c r="AA24" s="65"/>
      <c r="AB24" s="65"/>
      <c r="AC24" s="65"/>
      <c r="AD24" s="65"/>
      <c r="AE24" s="65"/>
      <c r="AF24" s="65"/>
      <c r="AG24" s="65">
        <v>45758</v>
      </c>
      <c r="AH24" s="65" t="s">
        <v>622</v>
      </c>
      <c r="AI24" s="65"/>
      <c r="AJ24" s="65">
        <v>45724</v>
      </c>
      <c r="AK24" s="65" t="s">
        <v>622</v>
      </c>
      <c r="AL24" s="65"/>
      <c r="AM24" s="65">
        <v>45696</v>
      </c>
      <c r="AN24" s="65" t="s">
        <v>622</v>
      </c>
      <c r="AO24" s="65"/>
      <c r="AP24" s="65">
        <v>45667</v>
      </c>
      <c r="AQ24" s="65" t="s">
        <v>622</v>
      </c>
      <c r="AR24" s="65"/>
      <c r="AS24" s="65"/>
      <c r="AT24" s="65"/>
      <c r="AU24" s="65"/>
      <c r="AV24" s="65">
        <v>45622</v>
      </c>
      <c r="AW24" s="65" t="s">
        <v>622</v>
      </c>
      <c r="AX24" s="65"/>
      <c r="AY24" s="65">
        <v>45587</v>
      </c>
      <c r="AZ24" s="65" t="s">
        <v>622</v>
      </c>
      <c r="BA24" s="65"/>
      <c r="BB24" s="65">
        <v>45560</v>
      </c>
      <c r="BC24" s="65" t="s">
        <v>622</v>
      </c>
      <c r="BD24" s="65"/>
      <c r="BE24" s="65">
        <v>45532</v>
      </c>
      <c r="BF24" s="65" t="s">
        <v>615</v>
      </c>
      <c r="BG24" s="65"/>
      <c r="BH24" s="65"/>
      <c r="BI24" s="65"/>
      <c r="BJ24" s="65"/>
      <c r="BK24" s="65">
        <v>45462</v>
      </c>
      <c r="BL24" s="65" t="s">
        <v>624</v>
      </c>
      <c r="BM24" s="65"/>
      <c r="BN24" s="65"/>
      <c r="BO24" s="65"/>
      <c r="BP24" s="65"/>
      <c r="BQ24" s="65">
        <v>45385</v>
      </c>
      <c r="BR24" s="65" t="s">
        <v>629</v>
      </c>
      <c r="BS24" s="65"/>
      <c r="BT24" s="65"/>
      <c r="BU24" s="65"/>
      <c r="BV24" s="65"/>
      <c r="BW24" s="65">
        <v>45338</v>
      </c>
      <c r="BX24" s="65" t="s">
        <v>630</v>
      </c>
      <c r="BY24" s="65"/>
      <c r="BZ24" s="65"/>
      <c r="CA24" s="65"/>
      <c r="CB24" s="65"/>
    </row>
    <row r="25" spans="1:80" s="64" customFormat="1" ht="22" customHeight="1" x14ac:dyDescent="0.2">
      <c r="A25" s="53" t="s">
        <v>37</v>
      </c>
      <c r="B25" s="63">
        <f ca="1">TODAY()</f>
        <v>45935</v>
      </c>
      <c r="C25" s="69" t="s">
        <v>454</v>
      </c>
      <c r="D25" s="68" t="s">
        <v>282</v>
      </c>
      <c r="E25" s="64" t="s">
        <v>101</v>
      </c>
      <c r="F25" s="2" t="s">
        <v>111</v>
      </c>
      <c r="G25" s="65">
        <v>45659</v>
      </c>
      <c r="H25" s="65">
        <v>46024</v>
      </c>
      <c r="I25" s="66">
        <f ca="1">(Table26[[#This Row],[Ref Date]]-Table26[[#This Row],[Service Start Date ]])/35</f>
        <v>7.8857142857142861</v>
      </c>
      <c r="J25" s="66">
        <f>COUNTIF(Table26[[#This Row],[2025 October
Actual]:[2024 January 
Done by 2]],"&gt;=" &amp;Table26[[#This Row],[Service Start Date ]])</f>
        <v>6</v>
      </c>
      <c r="K25" s="66">
        <f ca="1">Table26[[#This Row],[Actual Services
to be done]]-Table26[[#This Row],[Completed Services]]</f>
        <v>1.8857142857142861</v>
      </c>
      <c r="L25" s="64" t="s">
        <v>119</v>
      </c>
      <c r="M25" s="67">
        <f ca="1">B25-R25</f>
        <v>22</v>
      </c>
      <c r="N25" s="65">
        <f ca="1">((B25+(-M25+35-10)))</f>
        <v>45938</v>
      </c>
      <c r="O25" s="65"/>
      <c r="P25" s="65"/>
      <c r="Q25" s="65"/>
      <c r="R25" s="65">
        <v>45913</v>
      </c>
      <c r="S25" s="65" t="s">
        <v>618</v>
      </c>
      <c r="T25" s="65"/>
      <c r="U25" s="65"/>
      <c r="V25" s="65"/>
      <c r="W25" s="65"/>
      <c r="X25" s="65"/>
      <c r="Y25" s="65"/>
      <c r="Z25" s="65"/>
      <c r="AA25" s="65">
        <v>45812</v>
      </c>
      <c r="AB25" s="65" t="s">
        <v>618</v>
      </c>
      <c r="AC25" s="65"/>
      <c r="AD25" s="65"/>
      <c r="AE25" s="65"/>
      <c r="AF25" s="65"/>
      <c r="AG25" s="65">
        <v>45776</v>
      </c>
      <c r="AH25" s="65" t="s">
        <v>618</v>
      </c>
      <c r="AI25" s="65"/>
      <c r="AJ25" s="65">
        <v>45723</v>
      </c>
      <c r="AK25" s="65" t="s">
        <v>615</v>
      </c>
      <c r="AL25" s="65"/>
      <c r="AM25" s="65">
        <v>45694</v>
      </c>
      <c r="AN25" s="65" t="s">
        <v>615</v>
      </c>
      <c r="AO25" s="65"/>
      <c r="AP25" s="65">
        <v>45670</v>
      </c>
      <c r="AQ25" s="65" t="s">
        <v>615</v>
      </c>
      <c r="AR25" s="65"/>
      <c r="AS25" s="65">
        <v>45639</v>
      </c>
      <c r="AT25" s="65" t="s">
        <v>615</v>
      </c>
      <c r="AU25" s="65"/>
      <c r="AV25" s="65">
        <v>45601</v>
      </c>
      <c r="AW25" s="65" t="s">
        <v>618</v>
      </c>
      <c r="AX25" s="65"/>
      <c r="AY25" s="65">
        <v>45569</v>
      </c>
      <c r="AZ25" s="65" t="s">
        <v>618</v>
      </c>
      <c r="BA25" s="65"/>
      <c r="BB25" s="65">
        <v>45538</v>
      </c>
      <c r="BC25" s="65" t="s">
        <v>615</v>
      </c>
      <c r="BD25" s="65"/>
      <c r="BE25" s="65"/>
      <c r="BF25" s="65"/>
      <c r="BG25" s="65"/>
      <c r="BH25" s="65">
        <v>45497</v>
      </c>
      <c r="BI25" s="65" t="s">
        <v>624</v>
      </c>
      <c r="BJ25" s="65" t="s">
        <v>622</v>
      </c>
      <c r="BK25" s="65"/>
      <c r="BL25" s="65"/>
      <c r="BM25" s="65"/>
      <c r="BN25" s="65"/>
      <c r="BO25" s="65"/>
      <c r="BP25" s="65"/>
      <c r="BQ25" s="65"/>
      <c r="BR25" s="65"/>
      <c r="BS25" s="65"/>
      <c r="BT25" s="65">
        <v>45366</v>
      </c>
      <c r="BU25" s="65" t="s">
        <v>629</v>
      </c>
      <c r="BV25" s="65"/>
      <c r="BW25" s="65"/>
      <c r="BX25" s="65"/>
      <c r="BY25" s="65"/>
      <c r="BZ25" s="65">
        <v>45314</v>
      </c>
      <c r="CA25" s="65" t="s">
        <v>629</v>
      </c>
      <c r="CB25" s="65"/>
    </row>
    <row r="26" spans="1:80" s="64" customFormat="1" ht="22" customHeight="1" x14ac:dyDescent="0.2">
      <c r="A26" s="53" t="s">
        <v>37</v>
      </c>
      <c r="B26" s="63">
        <f ca="1">TODAY()</f>
        <v>45935</v>
      </c>
      <c r="C26" s="69" t="s">
        <v>580</v>
      </c>
      <c r="D26" s="68" t="s">
        <v>300</v>
      </c>
      <c r="E26" s="64" t="s">
        <v>9</v>
      </c>
      <c r="F26" s="2" t="s">
        <v>112</v>
      </c>
      <c r="G26" s="65">
        <v>45759</v>
      </c>
      <c r="H26" s="65">
        <v>46123</v>
      </c>
      <c r="I26" s="66">
        <f ca="1">(Table26[[#This Row],[Ref Date]]-Table26[[#This Row],[Service Start Date ]])/35</f>
        <v>5.0285714285714285</v>
      </c>
      <c r="J26" s="66">
        <f>COUNTIF(Table26[[#This Row],[2025 October
Actual]:[2024 January 
Done by 2]],"&gt;=" &amp;Table26[[#This Row],[Service Start Date ]])</f>
        <v>2</v>
      </c>
      <c r="K26" s="66">
        <f ca="1">Table26[[#This Row],[Actual Services
to be done]]-Table26[[#This Row],[Completed Services]]</f>
        <v>3.0285714285714285</v>
      </c>
      <c r="L26" s="64" t="s">
        <v>119</v>
      </c>
      <c r="M26" s="67">
        <f ca="1">B26-R26</f>
        <v>18</v>
      </c>
      <c r="N26" s="65">
        <f ca="1">((B26+(-M26+35-10)))</f>
        <v>45942</v>
      </c>
      <c r="O26" s="65"/>
      <c r="P26" s="65"/>
      <c r="Q26" s="65"/>
      <c r="R26" s="65">
        <v>45917</v>
      </c>
      <c r="S26" s="65" t="s">
        <v>615</v>
      </c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>
        <v>45785</v>
      </c>
      <c r="AE26" s="65" t="s">
        <v>618</v>
      </c>
      <c r="AF26" s="65" t="s">
        <v>615</v>
      </c>
      <c r="AG26" s="65">
        <v>45749</v>
      </c>
      <c r="AH26" s="65" t="s">
        <v>621</v>
      </c>
      <c r="AI26" s="65"/>
      <c r="AJ26" s="65">
        <v>45719</v>
      </c>
      <c r="AK26" s="65" t="s">
        <v>615</v>
      </c>
      <c r="AL26" s="65"/>
      <c r="AM26" s="65">
        <v>45692</v>
      </c>
      <c r="AN26" s="65" t="s">
        <v>615</v>
      </c>
      <c r="AO26" s="65"/>
      <c r="AP26" s="65">
        <v>45663</v>
      </c>
      <c r="AQ26" s="65" t="s">
        <v>615</v>
      </c>
      <c r="AR26" s="65"/>
      <c r="AS26" s="65">
        <v>45629</v>
      </c>
      <c r="AT26" s="65" t="s">
        <v>615</v>
      </c>
      <c r="AU26" s="65"/>
      <c r="AV26" s="65">
        <v>45603</v>
      </c>
      <c r="AW26" s="65" t="s">
        <v>615</v>
      </c>
      <c r="AX26" s="65"/>
      <c r="AY26" s="65">
        <v>45568</v>
      </c>
      <c r="AZ26" s="65" t="s">
        <v>615</v>
      </c>
      <c r="BA26" s="65"/>
      <c r="BB26" s="65">
        <v>45540</v>
      </c>
      <c r="BC26" s="65" t="s">
        <v>618</v>
      </c>
      <c r="BD26" s="65"/>
      <c r="BE26" s="65"/>
      <c r="BF26" s="65"/>
      <c r="BG26" s="65"/>
      <c r="BH26" s="65">
        <v>45502</v>
      </c>
      <c r="BI26" s="65" t="s">
        <v>624</v>
      </c>
      <c r="BJ26" s="65"/>
      <c r="BK26" s="65"/>
      <c r="BL26" s="65"/>
      <c r="BM26" s="65"/>
      <c r="BN26" s="65"/>
      <c r="BO26" s="65"/>
      <c r="BP26" s="65"/>
      <c r="BQ26" s="65">
        <v>45387</v>
      </c>
      <c r="BR26" s="65" t="s">
        <v>629</v>
      </c>
      <c r="BS26" s="65"/>
      <c r="BT26" s="65"/>
      <c r="BU26" s="65"/>
      <c r="BV26" s="65"/>
      <c r="BW26" s="65">
        <v>45345</v>
      </c>
      <c r="BX26" s="65" t="s">
        <v>630</v>
      </c>
      <c r="BY26" s="65"/>
      <c r="BZ26" s="65">
        <v>45311</v>
      </c>
      <c r="CA26" s="65" t="s">
        <v>630</v>
      </c>
      <c r="CB26" s="65"/>
    </row>
    <row r="27" spans="1:80" s="64" customFormat="1" ht="22" customHeight="1" x14ac:dyDescent="0.2">
      <c r="A27" s="53" t="s">
        <v>37</v>
      </c>
      <c r="B27" s="63">
        <f ca="1">TODAY()</f>
        <v>45935</v>
      </c>
      <c r="C27" s="69" t="s">
        <v>565</v>
      </c>
      <c r="D27" s="68" t="s">
        <v>230</v>
      </c>
      <c r="E27" s="64" t="s">
        <v>106</v>
      </c>
      <c r="F27" s="2" t="s">
        <v>112</v>
      </c>
      <c r="G27" s="65">
        <v>45749</v>
      </c>
      <c r="H27" s="65">
        <v>46113</v>
      </c>
      <c r="I27" s="66">
        <f ca="1">(Table26[[#This Row],[Ref Date]]-Table26[[#This Row],[Service Start Date ]])/35</f>
        <v>5.3142857142857141</v>
      </c>
      <c r="J27" s="66">
        <f>COUNTIF(Table26[[#This Row],[2025 October
Actual]:[2024 January 
Done by 2]],"&gt;=" &amp;Table26[[#This Row],[Service Start Date ]])</f>
        <v>3</v>
      </c>
      <c r="K27" s="66">
        <f ca="1">Table26[[#This Row],[Actual Services
to be done]]-Table26[[#This Row],[Completed Services]]</f>
        <v>2.3142857142857141</v>
      </c>
      <c r="L27" s="64" t="s">
        <v>119</v>
      </c>
      <c r="M27" s="67">
        <f ca="1">B27-R27</f>
        <v>8</v>
      </c>
      <c r="N27" s="65">
        <f ca="1">((B27+(-M27+35-10)))</f>
        <v>45952</v>
      </c>
      <c r="O27" s="65"/>
      <c r="P27" s="65"/>
      <c r="Q27" s="65"/>
      <c r="R27" s="65">
        <v>45927</v>
      </c>
      <c r="S27" s="65" t="s">
        <v>615</v>
      </c>
      <c r="T27" s="65"/>
      <c r="U27" s="65"/>
      <c r="V27" s="65"/>
      <c r="W27" s="65"/>
      <c r="X27" s="65">
        <v>45861</v>
      </c>
      <c r="Y27" s="65" t="s">
        <v>618</v>
      </c>
      <c r="Z27" s="65"/>
      <c r="AA27" s="65"/>
      <c r="AB27" s="65"/>
      <c r="AC27" s="65"/>
      <c r="AD27" s="65">
        <v>45799</v>
      </c>
      <c r="AE27" s="65" t="s">
        <v>615</v>
      </c>
      <c r="AF27" s="65"/>
      <c r="AG27" s="65"/>
      <c r="AH27" s="65"/>
      <c r="AI27" s="65"/>
      <c r="AJ27" s="65">
        <v>45727</v>
      </c>
      <c r="AK27" s="65" t="s">
        <v>615</v>
      </c>
      <c r="AL27" s="65"/>
      <c r="AM27" s="65">
        <v>45702</v>
      </c>
      <c r="AN27" s="65" t="s">
        <v>615</v>
      </c>
      <c r="AO27" s="65"/>
      <c r="AP27" s="65">
        <v>45681</v>
      </c>
      <c r="AQ27" s="65" t="s">
        <v>615</v>
      </c>
      <c r="AR27" s="65"/>
      <c r="AS27" s="65">
        <v>45654</v>
      </c>
      <c r="AT27" s="65" t="s">
        <v>615</v>
      </c>
      <c r="AU27" s="65"/>
      <c r="AV27" s="65">
        <v>45614</v>
      </c>
      <c r="AW27" s="65" t="s">
        <v>618</v>
      </c>
      <c r="AX27" s="65"/>
      <c r="AY27" s="65">
        <v>45569</v>
      </c>
      <c r="AZ27" s="95" t="s">
        <v>622</v>
      </c>
      <c r="BA27" s="65"/>
      <c r="BB27" s="65">
        <v>45540</v>
      </c>
      <c r="BC27" s="65" t="s">
        <v>618</v>
      </c>
      <c r="BD27" s="65"/>
      <c r="BE27" s="65"/>
      <c r="BF27" s="65"/>
      <c r="BG27" s="65"/>
      <c r="BH27" s="65">
        <v>45496</v>
      </c>
      <c r="BI27" s="65" t="s">
        <v>624</v>
      </c>
      <c r="BJ27" s="65" t="s">
        <v>622</v>
      </c>
      <c r="BK27" s="65"/>
      <c r="BL27" s="65"/>
      <c r="BM27" s="65"/>
      <c r="BN27" s="65">
        <v>45434</v>
      </c>
      <c r="BO27" s="65" t="s">
        <v>626</v>
      </c>
      <c r="BP27" s="65"/>
      <c r="BQ27" s="65">
        <v>45386</v>
      </c>
      <c r="BR27" s="65" t="s">
        <v>629</v>
      </c>
      <c r="BS27" s="65"/>
      <c r="BT27" s="65"/>
      <c r="BU27" s="65"/>
      <c r="BV27" s="65"/>
      <c r="BW27" s="65">
        <v>45343</v>
      </c>
      <c r="BX27" s="65" t="s">
        <v>626</v>
      </c>
      <c r="BY27" s="65"/>
      <c r="BZ27" s="65"/>
      <c r="CA27" s="65"/>
      <c r="CB27" s="65"/>
    </row>
    <row r="28" spans="1:80" s="64" customFormat="1" ht="22" customHeight="1" x14ac:dyDescent="0.2">
      <c r="A28" s="53" t="s">
        <v>37</v>
      </c>
      <c r="B28" s="63">
        <f ca="1">TODAY()</f>
        <v>45935</v>
      </c>
      <c r="C28" s="69" t="s">
        <v>474</v>
      </c>
      <c r="D28" s="68" t="s">
        <v>301</v>
      </c>
      <c r="E28" s="64" t="s">
        <v>11</v>
      </c>
      <c r="F28" s="2" t="s">
        <v>111</v>
      </c>
      <c r="G28" s="65">
        <v>45670</v>
      </c>
      <c r="H28" s="65">
        <v>46034</v>
      </c>
      <c r="I28" s="66">
        <f ca="1">(Table26[[#This Row],[Ref Date]]-Table26[[#This Row],[Service Start Date ]])/35</f>
        <v>7.5714285714285712</v>
      </c>
      <c r="J28" s="66">
        <f>COUNTIF(Table26[[#This Row],[2025 October
Actual]:[2024 January 
Done by 2]],"&gt;=" &amp;Table26[[#This Row],[Service Start Date ]])</f>
        <v>6</v>
      </c>
      <c r="K28" s="66">
        <f ca="1">Table26[[#This Row],[Actual Services
to be done]]-Table26[[#This Row],[Completed Services]]</f>
        <v>1.5714285714285712</v>
      </c>
      <c r="L28" s="64" t="s">
        <v>119</v>
      </c>
      <c r="M28" s="67">
        <f ca="1">B28-R28</f>
        <v>12</v>
      </c>
      <c r="N28" s="65">
        <f ca="1">((B28+(-M28+35-10)))</f>
        <v>45948</v>
      </c>
      <c r="O28" s="65"/>
      <c r="P28" s="65"/>
      <c r="Q28" s="65"/>
      <c r="R28" s="65">
        <v>45923</v>
      </c>
      <c r="S28" s="65" t="s">
        <v>618</v>
      </c>
      <c r="T28" s="65"/>
      <c r="U28" s="65"/>
      <c r="V28" s="65"/>
      <c r="W28" s="65"/>
      <c r="X28" s="65">
        <v>45839</v>
      </c>
      <c r="Y28" s="65" t="s">
        <v>621</v>
      </c>
      <c r="Z28" s="65"/>
      <c r="AA28" s="65"/>
      <c r="AB28" s="65"/>
      <c r="AC28" s="65"/>
      <c r="AD28" s="65">
        <v>45797</v>
      </c>
      <c r="AE28" s="65" t="s">
        <v>615</v>
      </c>
      <c r="AF28" s="65"/>
      <c r="AG28" s="65">
        <v>45763</v>
      </c>
      <c r="AH28" s="65" t="s">
        <v>615</v>
      </c>
      <c r="AI28" s="65"/>
      <c r="AJ28" s="65">
        <v>45724</v>
      </c>
      <c r="AK28" s="65" t="s">
        <v>618</v>
      </c>
      <c r="AL28" s="65"/>
      <c r="AM28" s="65">
        <v>45696</v>
      </c>
      <c r="AN28" s="65" t="s">
        <v>615</v>
      </c>
      <c r="AO28" s="65"/>
      <c r="AP28" s="65">
        <v>45663</v>
      </c>
      <c r="AQ28" s="65" t="s">
        <v>615</v>
      </c>
      <c r="AR28" s="65"/>
      <c r="AS28" s="65">
        <v>45628</v>
      </c>
      <c r="AT28" s="65" t="s">
        <v>615</v>
      </c>
      <c r="AU28" s="65"/>
      <c r="AV28" s="65">
        <v>45601</v>
      </c>
      <c r="AW28" s="65" t="s">
        <v>615</v>
      </c>
      <c r="AX28" s="65"/>
      <c r="AY28" s="65">
        <v>45568</v>
      </c>
      <c r="AZ28" s="65" t="s">
        <v>618</v>
      </c>
      <c r="BA28" s="65"/>
      <c r="BB28" s="65">
        <v>45537</v>
      </c>
      <c r="BC28" s="65" t="s">
        <v>618</v>
      </c>
      <c r="BD28" s="65"/>
      <c r="BE28" s="65"/>
      <c r="BF28" s="65"/>
      <c r="BG28" s="65"/>
      <c r="BH28" s="65">
        <v>45495</v>
      </c>
      <c r="BI28" s="65" t="s">
        <v>624</v>
      </c>
      <c r="BJ28" s="65" t="s">
        <v>622</v>
      </c>
      <c r="BK28" s="65"/>
      <c r="BL28" s="65"/>
      <c r="BM28" s="65"/>
      <c r="BN28" s="65"/>
      <c r="BO28" s="65"/>
      <c r="BP28" s="65"/>
      <c r="BQ28" s="65">
        <v>45411</v>
      </c>
      <c r="BR28" s="65" t="s">
        <v>629</v>
      </c>
      <c r="BS28" s="65"/>
      <c r="BT28" s="65">
        <v>45372</v>
      </c>
      <c r="BU28" s="65" t="s">
        <v>629</v>
      </c>
      <c r="BV28" s="65"/>
      <c r="BW28" s="65">
        <v>45346</v>
      </c>
      <c r="BX28" s="65" t="s">
        <v>626</v>
      </c>
      <c r="BY28" s="65"/>
      <c r="BZ28" s="65">
        <v>45309</v>
      </c>
      <c r="CA28" s="65" t="s">
        <v>629</v>
      </c>
      <c r="CB28" s="65"/>
    </row>
    <row r="29" spans="1:80" s="64" customFormat="1" ht="22" customHeight="1" x14ac:dyDescent="0.2">
      <c r="A29" s="53" t="s">
        <v>37</v>
      </c>
      <c r="B29" s="63">
        <f ca="1">TODAY()</f>
        <v>45935</v>
      </c>
      <c r="C29" s="69" t="s">
        <v>475</v>
      </c>
      <c r="D29" s="68" t="s">
        <v>302</v>
      </c>
      <c r="E29" s="64" t="s">
        <v>11</v>
      </c>
      <c r="F29" s="2" t="s">
        <v>111</v>
      </c>
      <c r="G29" s="65">
        <v>45670</v>
      </c>
      <c r="H29" s="65">
        <v>46034</v>
      </c>
      <c r="I29" s="66">
        <f ca="1">(Table26[[#This Row],[Ref Date]]-Table26[[#This Row],[Service Start Date ]])/35</f>
        <v>7.5714285714285712</v>
      </c>
      <c r="J29" s="66">
        <f>COUNTIF(Table26[[#This Row],[2025 October
Actual]:[2024 January 
Done by 2]],"&gt;=" &amp;Table26[[#This Row],[Service Start Date ]])</f>
        <v>6</v>
      </c>
      <c r="K29" s="66">
        <f ca="1">Table26[[#This Row],[Actual Services
to be done]]-Table26[[#This Row],[Completed Services]]</f>
        <v>1.5714285714285712</v>
      </c>
      <c r="L29" s="64" t="s">
        <v>119</v>
      </c>
      <c r="M29" s="67">
        <f ca="1">B29-R29</f>
        <v>12</v>
      </c>
      <c r="N29" s="65">
        <f ca="1">((B29+(-M29+35-10)))</f>
        <v>45948</v>
      </c>
      <c r="O29" s="65"/>
      <c r="P29" s="65"/>
      <c r="Q29" s="65"/>
      <c r="R29" s="65">
        <v>45923</v>
      </c>
      <c r="S29" s="65" t="s">
        <v>618</v>
      </c>
      <c r="T29" s="65"/>
      <c r="U29" s="65"/>
      <c r="V29" s="65"/>
      <c r="W29" s="65"/>
      <c r="X29" s="65">
        <v>45839</v>
      </c>
      <c r="Y29" s="65" t="s">
        <v>621</v>
      </c>
      <c r="Z29" s="65"/>
      <c r="AA29" s="65"/>
      <c r="AB29" s="65"/>
      <c r="AC29" s="65"/>
      <c r="AD29" s="65">
        <v>45797</v>
      </c>
      <c r="AE29" s="65" t="s">
        <v>615</v>
      </c>
      <c r="AF29" s="65"/>
      <c r="AG29" s="65">
        <v>45763</v>
      </c>
      <c r="AH29" s="65" t="s">
        <v>615</v>
      </c>
      <c r="AI29" s="65"/>
      <c r="AJ29" s="65">
        <v>45724</v>
      </c>
      <c r="AK29" s="65" t="s">
        <v>618</v>
      </c>
      <c r="AL29" s="65"/>
      <c r="AM29" s="65">
        <v>45696</v>
      </c>
      <c r="AN29" s="65" t="s">
        <v>615</v>
      </c>
      <c r="AO29" s="65"/>
      <c r="AP29" s="65">
        <v>45663</v>
      </c>
      <c r="AQ29" s="65" t="s">
        <v>615</v>
      </c>
      <c r="AR29" s="65"/>
      <c r="AS29" s="65">
        <v>45628</v>
      </c>
      <c r="AT29" s="65" t="s">
        <v>615</v>
      </c>
      <c r="AU29" s="65"/>
      <c r="AV29" s="65">
        <v>45601</v>
      </c>
      <c r="AW29" s="65" t="s">
        <v>615</v>
      </c>
      <c r="AX29" s="65"/>
      <c r="AY29" s="65">
        <v>45568</v>
      </c>
      <c r="AZ29" s="65" t="s">
        <v>618</v>
      </c>
      <c r="BA29" s="65"/>
      <c r="BB29" s="65">
        <v>45537</v>
      </c>
      <c r="BC29" s="65" t="s">
        <v>618</v>
      </c>
      <c r="BD29" s="65"/>
      <c r="BE29" s="65"/>
      <c r="BF29" s="65"/>
      <c r="BG29" s="65"/>
      <c r="BH29" s="65">
        <v>45495</v>
      </c>
      <c r="BI29" s="65" t="s">
        <v>624</v>
      </c>
      <c r="BJ29" s="65" t="s">
        <v>622</v>
      </c>
      <c r="BK29" s="65"/>
      <c r="BL29" s="65"/>
      <c r="BM29" s="65"/>
      <c r="BN29" s="65"/>
      <c r="BO29" s="65"/>
      <c r="BP29" s="65"/>
      <c r="BQ29" s="65">
        <v>45411</v>
      </c>
      <c r="BR29" s="65" t="s">
        <v>629</v>
      </c>
      <c r="BS29" s="65"/>
      <c r="BT29" s="65">
        <v>45372</v>
      </c>
      <c r="BU29" s="65" t="s">
        <v>629</v>
      </c>
      <c r="BV29" s="65"/>
      <c r="BW29" s="65">
        <v>45346</v>
      </c>
      <c r="BX29" s="65" t="s">
        <v>626</v>
      </c>
      <c r="BY29" s="65"/>
      <c r="BZ29" s="65">
        <v>45309</v>
      </c>
      <c r="CA29" s="65" t="s">
        <v>629</v>
      </c>
      <c r="CB29" s="65"/>
    </row>
    <row r="30" spans="1:80" s="64" customFormat="1" ht="22" customHeight="1" x14ac:dyDescent="0.2">
      <c r="A30" s="53" t="s">
        <v>37</v>
      </c>
      <c r="B30" s="63">
        <f ca="1">TODAY()</f>
        <v>45935</v>
      </c>
      <c r="C30" s="69" t="s">
        <v>493</v>
      </c>
      <c r="D30" s="68" t="s">
        <v>368</v>
      </c>
      <c r="E30" s="64" t="s">
        <v>9</v>
      </c>
      <c r="F30" s="2" t="s">
        <v>111</v>
      </c>
      <c r="G30" s="65">
        <v>45717</v>
      </c>
      <c r="H30" s="65">
        <v>46081</v>
      </c>
      <c r="I30" s="66">
        <f ca="1">(Table26[[#This Row],[Ref Date]]-Table26[[#This Row],[Service Start Date ]])/35</f>
        <v>6.2285714285714286</v>
      </c>
      <c r="J30" s="66">
        <f>COUNTIF(Table26[[#This Row],[2025 October
Actual]:[2024 January 
Done by 2]],"&gt;=" &amp;Table26[[#This Row],[Service Start Date ]])</f>
        <v>4</v>
      </c>
      <c r="K30" s="66">
        <f ca="1">Table26[[#This Row],[Actual Services
to be done]]-Table26[[#This Row],[Completed Services]]</f>
        <v>2.2285714285714286</v>
      </c>
      <c r="L30" s="64" t="s">
        <v>119</v>
      </c>
      <c r="M30" s="67">
        <f ca="1">B30-R30</f>
        <v>10</v>
      </c>
      <c r="N30" s="65">
        <f ca="1">((B30+(-M30+35-10)))</f>
        <v>45950</v>
      </c>
      <c r="O30" s="65"/>
      <c r="P30" s="65"/>
      <c r="Q30" s="65"/>
      <c r="R30" s="65">
        <v>45925</v>
      </c>
      <c r="S30" s="65" t="s">
        <v>618</v>
      </c>
      <c r="T30" s="65"/>
      <c r="U30" s="65">
        <v>45901</v>
      </c>
      <c r="V30" s="65" t="s">
        <v>618</v>
      </c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>
        <v>45777</v>
      </c>
      <c r="AH30" s="65" t="s">
        <v>618</v>
      </c>
      <c r="AI30" s="65"/>
      <c r="AJ30" s="65">
        <v>45721</v>
      </c>
      <c r="AK30" s="65" t="s">
        <v>618</v>
      </c>
      <c r="AL30" s="65"/>
      <c r="AM30" s="65">
        <v>45692</v>
      </c>
      <c r="AN30" s="65" t="s">
        <v>615</v>
      </c>
      <c r="AO30" s="65"/>
      <c r="AP30" s="65">
        <v>45663</v>
      </c>
      <c r="AQ30" s="65" t="s">
        <v>615</v>
      </c>
      <c r="AR30" s="65"/>
      <c r="AS30" s="65">
        <v>45628</v>
      </c>
      <c r="AT30" s="65" t="s">
        <v>615</v>
      </c>
      <c r="AU30" s="65"/>
      <c r="AV30" s="65">
        <v>45603</v>
      </c>
      <c r="AW30" s="65" t="s">
        <v>615</v>
      </c>
      <c r="AX30" s="65"/>
      <c r="AY30" s="65">
        <v>45568</v>
      </c>
      <c r="AZ30" s="65" t="s">
        <v>615</v>
      </c>
      <c r="BA30" s="65"/>
      <c r="BB30" s="65">
        <v>45539</v>
      </c>
      <c r="BC30" s="65" t="s">
        <v>618</v>
      </c>
      <c r="BD30" s="65"/>
      <c r="BE30" s="65"/>
      <c r="BF30" s="65"/>
      <c r="BG30" s="65"/>
      <c r="BH30" s="65">
        <v>45503</v>
      </c>
      <c r="BI30" s="65" t="s">
        <v>624</v>
      </c>
      <c r="BJ30" s="65" t="s">
        <v>622</v>
      </c>
      <c r="BK30" s="65"/>
      <c r="BL30" s="65"/>
      <c r="BM30" s="65"/>
      <c r="BN30" s="65">
        <v>45430</v>
      </c>
      <c r="BO30" s="65" t="s">
        <v>626</v>
      </c>
      <c r="BP30" s="65"/>
      <c r="BQ30" s="65"/>
      <c r="BR30" s="65"/>
      <c r="BS30" s="65"/>
      <c r="BT30" s="65">
        <v>45378</v>
      </c>
      <c r="BU30" s="65" t="s">
        <v>629</v>
      </c>
      <c r="BV30" s="65"/>
      <c r="BW30" s="65">
        <v>45343</v>
      </c>
      <c r="BX30" s="65" t="s">
        <v>626</v>
      </c>
      <c r="BY30" s="65"/>
      <c r="BZ30" s="65"/>
      <c r="CA30" s="65"/>
      <c r="CB30" s="65"/>
    </row>
    <row r="31" spans="1:80" s="64" customFormat="1" ht="22" customHeight="1" x14ac:dyDescent="0.2">
      <c r="A31" s="53" t="s">
        <v>38</v>
      </c>
      <c r="B31" s="63">
        <f ca="1">TODAY()</f>
        <v>45935</v>
      </c>
      <c r="C31" s="69" t="s">
        <v>505</v>
      </c>
      <c r="D31" s="68" t="s">
        <v>414</v>
      </c>
      <c r="E31" s="64" t="s">
        <v>15</v>
      </c>
      <c r="F31" s="2" t="s">
        <v>111</v>
      </c>
      <c r="G31" s="65">
        <v>45566</v>
      </c>
      <c r="H31" s="65">
        <v>45930</v>
      </c>
      <c r="I31" s="66">
        <v>10</v>
      </c>
      <c r="J31" s="66">
        <f>COUNTIF(Table26[[#This Row],[2025 October
Actual]:[2024 January 
Done by 2]],"&gt;=" &amp;Table26[[#This Row],[Service Start Date ]])</f>
        <v>9</v>
      </c>
      <c r="K31" s="66">
        <f>Table26[[#This Row],[Actual Services
to be done]]-Table26[[#This Row],[Completed Services]]</f>
        <v>1</v>
      </c>
      <c r="L31" s="64" t="s">
        <v>119</v>
      </c>
      <c r="M31" s="67">
        <f ca="1">B31-R31</f>
        <v>29</v>
      </c>
      <c r="N31" s="65">
        <f ca="1">((B31+(-M31+35)))</f>
        <v>45941</v>
      </c>
      <c r="O31" s="65"/>
      <c r="P31" s="65"/>
      <c r="Q31" s="65"/>
      <c r="R31" s="65">
        <v>45906</v>
      </c>
      <c r="S31" s="65" t="s">
        <v>618</v>
      </c>
      <c r="T31" s="65" t="s">
        <v>617</v>
      </c>
      <c r="U31" s="65"/>
      <c r="V31" s="65"/>
      <c r="W31" s="65"/>
      <c r="X31" s="65"/>
      <c r="Y31" s="65"/>
      <c r="Z31" s="65"/>
      <c r="AA31" s="65">
        <v>45812</v>
      </c>
      <c r="AB31" s="65" t="s">
        <v>615</v>
      </c>
      <c r="AC31" s="65"/>
      <c r="AD31" s="65">
        <v>45780</v>
      </c>
      <c r="AE31" s="65" t="s">
        <v>615</v>
      </c>
      <c r="AF31" s="65"/>
      <c r="AG31" s="65"/>
      <c r="AH31" s="65"/>
      <c r="AI31" s="65"/>
      <c r="AJ31" s="65">
        <v>45744</v>
      </c>
      <c r="AK31" s="65" t="s">
        <v>618</v>
      </c>
      <c r="AL31" s="65"/>
      <c r="AM31" s="65">
        <v>45712</v>
      </c>
      <c r="AN31" s="65" t="s">
        <v>615</v>
      </c>
      <c r="AO31" s="65"/>
      <c r="AP31" s="65">
        <v>45687</v>
      </c>
      <c r="AQ31" s="65" t="s">
        <v>615</v>
      </c>
      <c r="AR31" s="65"/>
      <c r="AS31" s="65">
        <v>45649</v>
      </c>
      <c r="AT31" s="65" t="s">
        <v>615</v>
      </c>
      <c r="AU31" s="65"/>
      <c r="AV31" s="65">
        <v>45625</v>
      </c>
      <c r="AW31" s="65" t="s">
        <v>615</v>
      </c>
      <c r="AX31" s="65"/>
      <c r="AY31" s="65">
        <v>45573</v>
      </c>
      <c r="AZ31" s="65" t="s">
        <v>618</v>
      </c>
      <c r="BA31" s="65"/>
      <c r="BB31" s="65">
        <v>45547</v>
      </c>
      <c r="BC31" s="65" t="s">
        <v>615</v>
      </c>
      <c r="BD31" s="65"/>
      <c r="BE31" s="65"/>
      <c r="BF31" s="65"/>
      <c r="BG31" s="65"/>
      <c r="BH31" s="65">
        <v>45492</v>
      </c>
      <c r="BI31" s="65" t="s">
        <v>624</v>
      </c>
      <c r="BJ31" s="65" t="s">
        <v>622</v>
      </c>
      <c r="BK31" s="65"/>
      <c r="BL31" s="65"/>
      <c r="BM31" s="65"/>
      <c r="BN31" s="65"/>
      <c r="BO31" s="65"/>
      <c r="BP31" s="65"/>
      <c r="BQ31" s="65"/>
      <c r="BR31" s="65"/>
      <c r="BS31" s="65"/>
      <c r="BT31" s="65">
        <v>45364</v>
      </c>
      <c r="BU31" s="65" t="s">
        <v>630</v>
      </c>
      <c r="BV31" s="65"/>
      <c r="BW31" s="65">
        <v>45323</v>
      </c>
      <c r="BX31" s="65" t="s">
        <v>630</v>
      </c>
      <c r="BY31" s="65"/>
      <c r="BZ31" s="65"/>
      <c r="CA31" s="65"/>
      <c r="CB31" s="65"/>
    </row>
    <row r="32" spans="1:80" s="64" customFormat="1" ht="22" customHeight="1" x14ac:dyDescent="0.2">
      <c r="A32" s="53" t="s">
        <v>38</v>
      </c>
      <c r="B32" s="63">
        <f ca="1">TODAY()</f>
        <v>45935</v>
      </c>
      <c r="C32" s="69" t="s">
        <v>506</v>
      </c>
      <c r="D32" s="68" t="s">
        <v>415</v>
      </c>
      <c r="E32" s="64" t="s">
        <v>15</v>
      </c>
      <c r="F32" s="2" t="s">
        <v>111</v>
      </c>
      <c r="G32" s="65">
        <v>45566</v>
      </c>
      <c r="H32" s="65">
        <v>45930</v>
      </c>
      <c r="I32" s="66">
        <v>10</v>
      </c>
      <c r="J32" s="66">
        <f>COUNTIF(Table26[[#This Row],[2025 October
Actual]:[2024 January 
Done by 2]],"&gt;=" &amp;Table26[[#This Row],[Service Start Date ]])</f>
        <v>9</v>
      </c>
      <c r="K32" s="66">
        <f>Table26[[#This Row],[Actual Services
to be done]]-Table26[[#This Row],[Completed Services]]</f>
        <v>1</v>
      </c>
      <c r="L32" s="64" t="s">
        <v>119</v>
      </c>
      <c r="M32" s="67">
        <f ca="1">B32-R32</f>
        <v>29</v>
      </c>
      <c r="N32" s="65">
        <f ca="1">((B32+(-M32+35)))</f>
        <v>45941</v>
      </c>
      <c r="O32" s="65"/>
      <c r="P32" s="65"/>
      <c r="Q32" s="65"/>
      <c r="R32" s="65">
        <v>45906</v>
      </c>
      <c r="S32" s="65" t="s">
        <v>618</v>
      </c>
      <c r="T32" s="65" t="s">
        <v>617</v>
      </c>
      <c r="U32" s="65"/>
      <c r="V32" s="65"/>
      <c r="W32" s="65"/>
      <c r="X32" s="65"/>
      <c r="Y32" s="65"/>
      <c r="Z32" s="65"/>
      <c r="AA32" s="65">
        <v>45812</v>
      </c>
      <c r="AB32" s="65" t="s">
        <v>615</v>
      </c>
      <c r="AC32" s="65"/>
      <c r="AD32" s="65">
        <v>45780</v>
      </c>
      <c r="AE32" s="65" t="s">
        <v>615</v>
      </c>
      <c r="AF32" s="65"/>
      <c r="AG32" s="65"/>
      <c r="AH32" s="65"/>
      <c r="AI32" s="65"/>
      <c r="AJ32" s="65">
        <v>45744</v>
      </c>
      <c r="AK32" s="65" t="s">
        <v>618</v>
      </c>
      <c r="AL32" s="65"/>
      <c r="AM32" s="65">
        <v>45712</v>
      </c>
      <c r="AN32" s="65" t="s">
        <v>615</v>
      </c>
      <c r="AO32" s="65"/>
      <c r="AP32" s="65">
        <v>45687</v>
      </c>
      <c r="AQ32" s="65" t="s">
        <v>615</v>
      </c>
      <c r="AR32" s="65"/>
      <c r="AS32" s="65">
        <v>45649</v>
      </c>
      <c r="AT32" s="65" t="s">
        <v>615</v>
      </c>
      <c r="AU32" s="65"/>
      <c r="AV32" s="65">
        <v>45625</v>
      </c>
      <c r="AW32" s="65" t="s">
        <v>615</v>
      </c>
      <c r="AX32" s="65"/>
      <c r="AY32" s="65">
        <v>45573</v>
      </c>
      <c r="AZ32" s="65" t="s">
        <v>618</v>
      </c>
      <c r="BA32" s="65"/>
      <c r="BB32" s="65">
        <v>45547</v>
      </c>
      <c r="BC32" s="65" t="s">
        <v>615</v>
      </c>
      <c r="BD32" s="65"/>
      <c r="BE32" s="65"/>
      <c r="BF32" s="65"/>
      <c r="BG32" s="65"/>
      <c r="BH32" s="65">
        <v>45492</v>
      </c>
      <c r="BI32" s="65" t="s">
        <v>624</v>
      </c>
      <c r="BJ32" s="65" t="s">
        <v>622</v>
      </c>
      <c r="BK32" s="65"/>
      <c r="BL32" s="65"/>
      <c r="BM32" s="65"/>
      <c r="BN32" s="65"/>
      <c r="BO32" s="65"/>
      <c r="BP32" s="65"/>
      <c r="BQ32" s="65"/>
      <c r="BR32" s="65"/>
      <c r="BS32" s="65"/>
      <c r="BT32" s="65">
        <v>45364</v>
      </c>
      <c r="BU32" s="65" t="s">
        <v>630</v>
      </c>
      <c r="BV32" s="65"/>
      <c r="BW32" s="65">
        <v>45323</v>
      </c>
      <c r="BX32" s="65" t="s">
        <v>630</v>
      </c>
      <c r="BY32" s="65"/>
      <c r="BZ32" s="65"/>
      <c r="CA32" s="65"/>
      <c r="CB32" s="65"/>
    </row>
    <row r="33" spans="1:80" s="64" customFormat="1" ht="22" customHeight="1" x14ac:dyDescent="0.2">
      <c r="A33" s="53" t="s">
        <v>37</v>
      </c>
      <c r="B33" s="63">
        <f ca="1">TODAY()</f>
        <v>45935</v>
      </c>
      <c r="C33" s="69" t="s">
        <v>484</v>
      </c>
      <c r="D33" s="68" t="s">
        <v>355</v>
      </c>
      <c r="E33" s="64" t="s">
        <v>108</v>
      </c>
      <c r="F33" s="2" t="s">
        <v>111</v>
      </c>
      <c r="G33" s="65">
        <v>45809</v>
      </c>
      <c r="H33" s="65">
        <v>46173</v>
      </c>
      <c r="I33" s="66">
        <f ca="1">(Table26[[#This Row],[Ref Date]]-Table26[[#This Row],[Service Start Date ]])/35</f>
        <v>3.6</v>
      </c>
      <c r="J33" s="66">
        <f>COUNTIF(Table26[[#This Row],[2025 October
Actual]:[2024 January 
Done by 2]],"&gt;=" &amp;Table26[[#This Row],[Service Start Date ]])</f>
        <v>2</v>
      </c>
      <c r="K33" s="66">
        <f ca="1">Table26[[#This Row],[Actual Services
to be done]]-Table26[[#This Row],[Completed Services]]</f>
        <v>1.6</v>
      </c>
      <c r="L33" s="64" t="s">
        <v>119</v>
      </c>
      <c r="M33" s="67">
        <f ca="1">B33-X33</f>
        <v>95</v>
      </c>
      <c r="N33" s="65">
        <f ca="1">((B33+(-M33+35-10)))</f>
        <v>45865</v>
      </c>
      <c r="O33" s="65"/>
      <c r="P33" s="65"/>
      <c r="Q33" s="65"/>
      <c r="R33" s="65"/>
      <c r="S33" s="65"/>
      <c r="T33" s="65"/>
      <c r="U33" s="65"/>
      <c r="V33" s="65"/>
      <c r="W33" s="65"/>
      <c r="X33" s="65">
        <v>45840</v>
      </c>
      <c r="Y33" s="65" t="s">
        <v>621</v>
      </c>
      <c r="Z33" s="65"/>
      <c r="AA33" s="65">
        <v>45815</v>
      </c>
      <c r="AB33" s="65" t="s">
        <v>615</v>
      </c>
      <c r="AC33" s="65"/>
      <c r="AD33" s="65"/>
      <c r="AE33" s="65"/>
      <c r="AF33" s="65"/>
      <c r="AG33" s="65">
        <v>45775</v>
      </c>
      <c r="AH33" s="65" t="s">
        <v>622</v>
      </c>
      <c r="AI33" s="65"/>
      <c r="AJ33" s="65">
        <v>45743</v>
      </c>
      <c r="AK33" s="65" t="s">
        <v>622</v>
      </c>
      <c r="AL33" s="65"/>
      <c r="AM33" s="65">
        <v>45714</v>
      </c>
      <c r="AN33" s="65" t="s">
        <v>615</v>
      </c>
      <c r="AO33" s="65"/>
      <c r="AP33" s="65">
        <v>45687</v>
      </c>
      <c r="AQ33" s="65" t="s">
        <v>615</v>
      </c>
      <c r="AR33" s="65"/>
      <c r="AS33" s="65">
        <v>45652</v>
      </c>
      <c r="AT33" s="65" t="s">
        <v>615</v>
      </c>
      <c r="AU33" s="65"/>
      <c r="AV33" s="65">
        <v>45618</v>
      </c>
      <c r="AW33" s="65" t="s">
        <v>618</v>
      </c>
      <c r="AX33" s="65"/>
      <c r="AY33" s="65">
        <v>45588</v>
      </c>
      <c r="AZ33" s="65" t="s">
        <v>615</v>
      </c>
      <c r="BA33" s="65"/>
      <c r="BB33" s="65">
        <v>45563</v>
      </c>
      <c r="BC33" s="65" t="s">
        <v>618</v>
      </c>
      <c r="BD33" s="65"/>
      <c r="BE33" s="65">
        <v>45524</v>
      </c>
      <c r="BF33" s="65" t="s">
        <v>615</v>
      </c>
      <c r="BG33" s="65"/>
      <c r="BH33" s="65">
        <v>45485</v>
      </c>
      <c r="BI33" s="65" t="s">
        <v>624</v>
      </c>
      <c r="BJ33" s="65"/>
      <c r="BK33" s="65"/>
      <c r="BL33" s="65"/>
      <c r="BM33" s="65"/>
      <c r="BN33" s="65"/>
      <c r="BO33" s="65"/>
      <c r="BP33" s="65"/>
      <c r="BQ33" s="65">
        <v>45409</v>
      </c>
      <c r="BR33" s="65" t="s">
        <v>629</v>
      </c>
      <c r="BS33" s="65"/>
      <c r="BT33" s="65"/>
      <c r="BU33" s="65"/>
      <c r="BV33" s="65"/>
      <c r="BW33" s="65">
        <v>45351</v>
      </c>
      <c r="BX33" s="65" t="s">
        <v>630</v>
      </c>
      <c r="BY33" s="65"/>
      <c r="BZ33" s="65"/>
      <c r="CA33" s="65"/>
      <c r="CB33" s="65"/>
    </row>
    <row r="34" spans="1:80" s="64" customFormat="1" ht="22" customHeight="1" x14ac:dyDescent="0.2">
      <c r="A34" s="53" t="s">
        <v>37</v>
      </c>
      <c r="B34" s="63">
        <f ca="1">TODAY()</f>
        <v>45935</v>
      </c>
      <c r="C34" s="69" t="s">
        <v>569</v>
      </c>
      <c r="D34" s="68" t="s">
        <v>365</v>
      </c>
      <c r="E34" s="64" t="s">
        <v>160</v>
      </c>
      <c r="F34" s="2" t="s">
        <v>112</v>
      </c>
      <c r="G34" s="65">
        <v>45839</v>
      </c>
      <c r="H34" s="65">
        <v>46203</v>
      </c>
      <c r="I34" s="66">
        <f ca="1">(Table26[[#This Row],[Ref Date]]-Table26[[#This Row],[Service Start Date ]])/35</f>
        <v>2.7428571428571429</v>
      </c>
      <c r="J34" s="66">
        <f>COUNTIF(Table26[[#This Row],[2025 October
Actual]:[2024 January 
Done by 2]],"&gt;=" &amp;Table26[[#This Row],[Service Start Date ]])</f>
        <v>1</v>
      </c>
      <c r="K34" s="66">
        <f ca="1">Table26[[#This Row],[Actual Services
to be done]]-Table26[[#This Row],[Completed Services]]</f>
        <v>1.7428571428571429</v>
      </c>
      <c r="L34" s="64" t="s">
        <v>119</v>
      </c>
      <c r="M34" s="67">
        <f ca="1">B34-R34</f>
        <v>15</v>
      </c>
      <c r="N34" s="65">
        <f ca="1">((B34+(-M34+35-10)))</f>
        <v>45945</v>
      </c>
      <c r="O34" s="65"/>
      <c r="P34" s="65"/>
      <c r="Q34" s="65"/>
      <c r="R34" s="65">
        <v>45920</v>
      </c>
      <c r="S34" s="65" t="s">
        <v>615</v>
      </c>
      <c r="T34" s="65"/>
      <c r="U34" s="65"/>
      <c r="V34" s="65"/>
      <c r="W34" s="65"/>
      <c r="X34" s="65"/>
      <c r="Y34" s="65"/>
      <c r="Z34" s="65"/>
      <c r="AA34" s="65">
        <v>45815</v>
      </c>
      <c r="AB34" s="65" t="s">
        <v>618</v>
      </c>
      <c r="AC34" s="65"/>
      <c r="AD34" s="65"/>
      <c r="AE34" s="65"/>
      <c r="AF34" s="65"/>
      <c r="AG34" s="65">
        <v>45768</v>
      </c>
      <c r="AH34" s="65" t="s">
        <v>622</v>
      </c>
      <c r="AI34" s="65"/>
      <c r="AJ34" s="65">
        <v>45741</v>
      </c>
      <c r="AK34" s="65" t="s">
        <v>622</v>
      </c>
      <c r="AL34" s="65"/>
      <c r="AM34" s="65">
        <v>45714</v>
      </c>
      <c r="AN34" s="65" t="s">
        <v>615</v>
      </c>
      <c r="AO34" s="65"/>
      <c r="AP34" s="65">
        <v>45688</v>
      </c>
      <c r="AQ34" s="65" t="s">
        <v>615</v>
      </c>
      <c r="AR34" s="65"/>
      <c r="AS34" s="65">
        <v>45644</v>
      </c>
      <c r="AT34" s="65" t="s">
        <v>615</v>
      </c>
      <c r="AU34" s="65"/>
      <c r="AV34" s="65">
        <v>45605</v>
      </c>
      <c r="AW34" s="65" t="s">
        <v>622</v>
      </c>
      <c r="AX34" s="65"/>
      <c r="AY34" s="65">
        <v>45573</v>
      </c>
      <c r="AZ34" s="95" t="s">
        <v>622</v>
      </c>
      <c r="BA34" s="65"/>
      <c r="BB34" s="65">
        <v>45551</v>
      </c>
      <c r="BC34" s="65" t="s">
        <v>622</v>
      </c>
      <c r="BD34" s="65"/>
      <c r="BE34" s="65"/>
      <c r="BF34" s="65"/>
      <c r="BG34" s="65"/>
      <c r="BH34" s="65">
        <v>45495</v>
      </c>
      <c r="BI34" s="65" t="s">
        <v>624</v>
      </c>
      <c r="BJ34" s="65" t="s">
        <v>622</v>
      </c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</row>
    <row r="35" spans="1:80" s="64" customFormat="1" ht="22" customHeight="1" x14ac:dyDescent="0.2">
      <c r="A35" s="53" t="s">
        <v>37</v>
      </c>
      <c r="B35" s="63">
        <f ca="1">TODAY()</f>
        <v>45935</v>
      </c>
      <c r="C35" s="69" t="s">
        <v>571</v>
      </c>
      <c r="D35" s="68" t="s">
        <v>330</v>
      </c>
      <c r="E35" s="64" t="s">
        <v>23</v>
      </c>
      <c r="F35" s="2" t="s">
        <v>112</v>
      </c>
      <c r="G35" s="65">
        <v>45597</v>
      </c>
      <c r="H35" s="65">
        <v>46326</v>
      </c>
      <c r="I35" s="66">
        <f ca="1">(Table26[[#This Row],[Ref Date]]-Table26[[#This Row],[Service Start Date ]])/60</f>
        <v>5.6333333333333337</v>
      </c>
      <c r="J35" s="66">
        <f>COUNTIF(Table26[[#This Row],[2025 October
Actual]:[2024 January 
Done by 2]],"&gt;=" &amp;Table26[[#This Row],[Service Start Date ]])</f>
        <v>7</v>
      </c>
      <c r="K35" s="66">
        <f ca="1">Table26[[#This Row],[Actual Services
to be done]]-Table26[[#This Row],[Completed Services]]</f>
        <v>-1.3666666666666663</v>
      </c>
      <c r="L35" s="64" t="s">
        <v>118</v>
      </c>
      <c r="M35" s="67">
        <f ca="1">B35-R35</f>
        <v>12</v>
      </c>
      <c r="N35" s="65">
        <f ca="1">((B35+(-M35+60+10)))</f>
        <v>45993</v>
      </c>
      <c r="O35" s="65"/>
      <c r="P35" s="65"/>
      <c r="Q35" s="65"/>
      <c r="R35" s="65">
        <v>45923</v>
      </c>
      <c r="S35" s="65" t="s">
        <v>618</v>
      </c>
      <c r="T35" s="65"/>
      <c r="U35" s="65"/>
      <c r="V35" s="65"/>
      <c r="W35" s="65"/>
      <c r="X35" s="65">
        <v>45846</v>
      </c>
      <c r="Y35" s="65" t="s">
        <v>621</v>
      </c>
      <c r="Z35" s="65"/>
      <c r="AA35" s="65"/>
      <c r="AB35" s="65"/>
      <c r="AC35" s="65"/>
      <c r="AD35" s="65">
        <v>45786</v>
      </c>
      <c r="AE35" s="65" t="s">
        <v>615</v>
      </c>
      <c r="AF35" s="65"/>
      <c r="AG35" s="65">
        <v>45762</v>
      </c>
      <c r="AH35" s="65" t="s">
        <v>615</v>
      </c>
      <c r="AI35" s="65" t="s">
        <v>618</v>
      </c>
      <c r="AJ35" s="65"/>
      <c r="AK35" s="65"/>
      <c r="AL35" s="65"/>
      <c r="AM35" s="65">
        <v>45700</v>
      </c>
      <c r="AN35" s="65" t="s">
        <v>615</v>
      </c>
      <c r="AO35" s="65"/>
      <c r="AP35" s="65"/>
      <c r="AQ35" s="65"/>
      <c r="AR35" s="65"/>
      <c r="AS35" s="65">
        <v>45645</v>
      </c>
      <c r="AT35" s="65" t="s">
        <v>615</v>
      </c>
      <c r="AU35" s="65"/>
      <c r="AV35" s="65">
        <v>45622</v>
      </c>
      <c r="AW35" s="65" t="s">
        <v>615</v>
      </c>
      <c r="AX35" s="65"/>
      <c r="AY35" s="65">
        <v>45573</v>
      </c>
      <c r="AZ35" s="65" t="s">
        <v>615</v>
      </c>
      <c r="BA35" s="65"/>
      <c r="BB35" s="65"/>
      <c r="BC35" s="65"/>
      <c r="BD35" s="65"/>
      <c r="BE35" s="65"/>
      <c r="BF35" s="65"/>
      <c r="BG35" s="65"/>
      <c r="BH35" s="65">
        <v>45498</v>
      </c>
      <c r="BI35" s="65" t="s">
        <v>624</v>
      </c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>
        <v>45364</v>
      </c>
      <c r="BU35" s="65" t="s">
        <v>631</v>
      </c>
      <c r="BV35" s="65"/>
      <c r="BW35" s="65"/>
      <c r="BX35" s="65"/>
      <c r="BY35" s="65"/>
      <c r="BZ35" s="65">
        <v>45302</v>
      </c>
      <c r="CA35" s="65" t="s">
        <v>629</v>
      </c>
      <c r="CB35" s="65"/>
    </row>
    <row r="36" spans="1:80" s="64" customFormat="1" ht="22" customHeight="1" x14ac:dyDescent="0.2">
      <c r="A36" s="53" t="s">
        <v>37</v>
      </c>
      <c r="B36" s="63">
        <f ca="1">TODAY()</f>
        <v>45935</v>
      </c>
      <c r="C36" s="69" t="s">
        <v>572</v>
      </c>
      <c r="D36" s="68" t="s">
        <v>325</v>
      </c>
      <c r="E36" s="64" t="s">
        <v>23</v>
      </c>
      <c r="F36" s="2" t="s">
        <v>112</v>
      </c>
      <c r="G36" s="65">
        <v>45597</v>
      </c>
      <c r="H36" s="65">
        <v>46326</v>
      </c>
      <c r="I36" s="66">
        <f ca="1">(Table26[[#This Row],[Ref Date]]-Table26[[#This Row],[Service Start Date ]])/60</f>
        <v>5.6333333333333337</v>
      </c>
      <c r="J36" s="66">
        <f>COUNTIF(Table26[[#This Row],[2025 October
Actual]:[2024 January 
Done by 2]],"&gt;=" &amp;Table26[[#This Row],[Service Start Date ]])</f>
        <v>6</v>
      </c>
      <c r="K36" s="66">
        <f ca="1">Table26[[#This Row],[Actual Services
to be done]]-Table26[[#This Row],[Completed Services]]</f>
        <v>-0.36666666666666625</v>
      </c>
      <c r="L36" s="64" t="s">
        <v>118</v>
      </c>
      <c r="M36" s="67">
        <f ca="1">B36-R36</f>
        <v>12</v>
      </c>
      <c r="N36" s="65">
        <f ca="1">((B36+(-M36+60)))</f>
        <v>45983</v>
      </c>
      <c r="O36" s="65"/>
      <c r="P36" s="65"/>
      <c r="Q36" s="65"/>
      <c r="R36" s="65">
        <v>45923</v>
      </c>
      <c r="S36" s="65" t="s">
        <v>618</v>
      </c>
      <c r="T36" s="65"/>
      <c r="U36" s="65"/>
      <c r="V36" s="65"/>
      <c r="W36" s="65"/>
      <c r="X36" s="65">
        <v>45846</v>
      </c>
      <c r="Y36" s="65" t="s">
        <v>621</v>
      </c>
      <c r="Z36" s="65"/>
      <c r="AA36" s="65"/>
      <c r="AB36" s="65"/>
      <c r="AC36" s="65"/>
      <c r="AD36" s="65">
        <v>45786</v>
      </c>
      <c r="AE36" s="65" t="s">
        <v>615</v>
      </c>
      <c r="AF36" s="65"/>
      <c r="AG36" s="65">
        <v>45762</v>
      </c>
      <c r="AH36" s="65" t="s">
        <v>615</v>
      </c>
      <c r="AI36" s="65" t="s">
        <v>618</v>
      </c>
      <c r="AJ36" s="65"/>
      <c r="AK36" s="65"/>
      <c r="AL36" s="65"/>
      <c r="AM36" s="65">
        <v>45700</v>
      </c>
      <c r="AN36" s="65" t="s">
        <v>615</v>
      </c>
      <c r="AO36" s="65"/>
      <c r="AP36" s="65"/>
      <c r="AQ36" s="65"/>
      <c r="AR36" s="65"/>
      <c r="AS36" s="65">
        <v>45645</v>
      </c>
      <c r="AT36" s="65" t="s">
        <v>615</v>
      </c>
      <c r="AU36" s="65"/>
      <c r="AV36" s="65"/>
      <c r="AW36" s="65"/>
      <c r="AX36" s="65"/>
      <c r="AY36" s="65">
        <v>45595</v>
      </c>
      <c r="AZ36" s="65" t="s">
        <v>615</v>
      </c>
      <c r="BA36" s="65"/>
      <c r="BB36" s="65">
        <v>45552</v>
      </c>
      <c r="BC36" s="65" t="s">
        <v>618</v>
      </c>
      <c r="BD36" s="65"/>
      <c r="BE36" s="65"/>
      <c r="BF36" s="65"/>
      <c r="BG36" s="65"/>
      <c r="BH36" s="65">
        <v>45498</v>
      </c>
      <c r="BI36" s="65" t="s">
        <v>624</v>
      </c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>
        <v>45364</v>
      </c>
      <c r="BU36" s="65" t="s">
        <v>631</v>
      </c>
      <c r="BV36" s="65"/>
      <c r="BW36" s="65"/>
      <c r="BX36" s="65"/>
      <c r="BY36" s="65"/>
      <c r="BZ36" s="65">
        <v>45302</v>
      </c>
      <c r="CA36" s="65" t="s">
        <v>629</v>
      </c>
      <c r="CB36" s="65"/>
    </row>
    <row r="37" spans="1:80" s="64" customFormat="1" ht="22" customHeight="1" x14ac:dyDescent="0.2">
      <c r="A37" s="53" t="s">
        <v>37</v>
      </c>
      <c r="B37" s="63">
        <f ca="1">TODAY()</f>
        <v>45935</v>
      </c>
      <c r="C37" s="69" t="s">
        <v>516</v>
      </c>
      <c r="D37" s="68" t="s">
        <v>385</v>
      </c>
      <c r="E37" s="64" t="s">
        <v>25</v>
      </c>
      <c r="F37" s="2" t="s">
        <v>111</v>
      </c>
      <c r="G37" s="65">
        <v>45627</v>
      </c>
      <c r="H37" s="65">
        <v>46022</v>
      </c>
      <c r="I37" s="66">
        <f ca="1">(Table26[[#This Row],[Ref Date]]-Table26[[#This Row],[Service Start Date ]])/35</f>
        <v>8.8000000000000007</v>
      </c>
      <c r="J37" s="66">
        <f>COUNTIF(Table26[[#This Row],[2025 October
Actual]:[2024 January 
Done by 2]],"&gt;=" &amp;Table26[[#This Row],[Service Start Date ]])</f>
        <v>7</v>
      </c>
      <c r="K37" s="66">
        <f ca="1">Table26[[#This Row],[Actual Services
to be done]]-Table26[[#This Row],[Completed Services]]</f>
        <v>1.8000000000000007</v>
      </c>
      <c r="L37" s="64" t="s">
        <v>119</v>
      </c>
      <c r="M37" s="67">
        <f ca="1">B37-R37</f>
        <v>10</v>
      </c>
      <c r="N37" s="65">
        <f ca="1">((B37+(-M37+35-10)))</f>
        <v>45950</v>
      </c>
      <c r="O37" s="65"/>
      <c r="P37" s="65"/>
      <c r="Q37" s="65"/>
      <c r="R37" s="65">
        <v>45925</v>
      </c>
      <c r="S37" s="65" t="s">
        <v>615</v>
      </c>
      <c r="T37" s="65"/>
      <c r="U37" s="65"/>
      <c r="V37" s="65"/>
      <c r="W37" s="65"/>
      <c r="X37" s="65">
        <v>45854</v>
      </c>
      <c r="Y37" s="65" t="s">
        <v>618</v>
      </c>
      <c r="Z37" s="65" t="s">
        <v>617</v>
      </c>
      <c r="AA37" s="65"/>
      <c r="AB37" s="65"/>
      <c r="AC37" s="65"/>
      <c r="AD37" s="65">
        <v>45803</v>
      </c>
      <c r="AE37" s="65" t="s">
        <v>615</v>
      </c>
      <c r="AF37" s="65"/>
      <c r="AG37" s="65">
        <v>45768</v>
      </c>
      <c r="AH37" s="65" t="s">
        <v>615</v>
      </c>
      <c r="AI37" s="65"/>
      <c r="AJ37" s="65">
        <v>45726</v>
      </c>
      <c r="AK37" s="65" t="s">
        <v>615</v>
      </c>
      <c r="AL37" s="65"/>
      <c r="AM37" s="65">
        <v>45689</v>
      </c>
      <c r="AN37" s="65" t="s">
        <v>622</v>
      </c>
      <c r="AO37" s="65"/>
      <c r="AP37" s="65"/>
      <c r="AQ37" s="65"/>
      <c r="AR37" s="65"/>
      <c r="AS37" s="65">
        <v>45640</v>
      </c>
      <c r="AT37" s="65" t="s">
        <v>615</v>
      </c>
      <c r="AU37" s="65"/>
      <c r="AV37" s="65"/>
      <c r="AW37" s="65"/>
      <c r="AX37" s="65"/>
      <c r="AY37" s="65">
        <v>45586</v>
      </c>
      <c r="AZ37" s="65" t="s">
        <v>618</v>
      </c>
      <c r="BA37" s="65"/>
      <c r="BB37" s="65">
        <v>45559</v>
      </c>
      <c r="BC37" s="65" t="s">
        <v>622</v>
      </c>
      <c r="BD37" s="65"/>
      <c r="BE37" s="65"/>
      <c r="BF37" s="65"/>
      <c r="BG37" s="65"/>
      <c r="BH37" s="65">
        <v>45503</v>
      </c>
      <c r="BI37" s="65" t="s">
        <v>624</v>
      </c>
      <c r="BJ37" s="65" t="s">
        <v>622</v>
      </c>
      <c r="BK37" s="65"/>
      <c r="BL37" s="65"/>
      <c r="BM37" s="65"/>
      <c r="BN37" s="65"/>
      <c r="BO37" s="65"/>
      <c r="BP37" s="65"/>
      <c r="BQ37" s="65"/>
      <c r="BR37" s="65"/>
      <c r="BS37" s="65"/>
      <c r="BT37" s="65">
        <v>45365</v>
      </c>
      <c r="BU37" s="65" t="s">
        <v>631</v>
      </c>
      <c r="BV37" s="65"/>
      <c r="BW37" s="65"/>
      <c r="BX37" s="65"/>
      <c r="BY37" s="65"/>
      <c r="BZ37" s="65">
        <v>45302</v>
      </c>
      <c r="CA37" s="65" t="s">
        <v>629</v>
      </c>
      <c r="CB37" s="65"/>
    </row>
    <row r="38" spans="1:80" s="64" customFormat="1" ht="22" customHeight="1" x14ac:dyDescent="0.2">
      <c r="A38" s="53" t="s">
        <v>37</v>
      </c>
      <c r="B38" s="63">
        <f ca="1">TODAY()</f>
        <v>45935</v>
      </c>
      <c r="C38" s="69" t="s">
        <v>439</v>
      </c>
      <c r="D38" s="68" t="s">
        <v>386</v>
      </c>
      <c r="E38" s="126" t="s">
        <v>50</v>
      </c>
      <c r="F38" s="2" t="s">
        <v>112</v>
      </c>
      <c r="G38" s="65">
        <v>45749</v>
      </c>
      <c r="H38" s="65">
        <v>46113</v>
      </c>
      <c r="I38" s="66">
        <f ca="1">(Table26[[#This Row],[Ref Date]]-Table26[[#This Row],[Service Start Date ]])/35</f>
        <v>5.3142857142857141</v>
      </c>
      <c r="J38" s="66">
        <f>COUNTIF(Table26[[#This Row],[2025 October
Actual]:[2024 January 
Done by 2]],"&gt;=" &amp;Table26[[#This Row],[Service Start Date ]])</f>
        <v>2</v>
      </c>
      <c r="K38" s="66">
        <f ca="1">Table26[[#This Row],[Actual Services
to be done]]-Table26[[#This Row],[Completed Services]]</f>
        <v>3.3142857142857141</v>
      </c>
      <c r="L38" s="64" t="s">
        <v>119</v>
      </c>
      <c r="M38" s="67">
        <f ca="1">B38-R38</f>
        <v>12</v>
      </c>
      <c r="N38" s="65">
        <f ca="1">((B38+(-M38+35-10)))</f>
        <v>45948</v>
      </c>
      <c r="O38" s="65"/>
      <c r="P38" s="65"/>
      <c r="Q38" s="65"/>
      <c r="R38" s="65">
        <v>45923</v>
      </c>
      <c r="S38" s="65" t="s">
        <v>620</v>
      </c>
      <c r="T38" s="65"/>
      <c r="U38" s="65"/>
      <c r="V38" s="65"/>
      <c r="W38" s="65"/>
      <c r="X38" s="65">
        <v>45857</v>
      </c>
      <c r="Y38" s="65" t="s">
        <v>618</v>
      </c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>
        <v>45731</v>
      </c>
      <c r="AK38" s="65" t="s">
        <v>622</v>
      </c>
      <c r="AL38" s="65"/>
      <c r="AM38" s="65">
        <v>45700</v>
      </c>
      <c r="AN38" s="65" t="s">
        <v>622</v>
      </c>
      <c r="AO38" s="65"/>
      <c r="AP38" s="65">
        <v>45681</v>
      </c>
      <c r="AQ38" s="65" t="s">
        <v>622</v>
      </c>
      <c r="AR38" s="65"/>
      <c r="AS38" s="65">
        <v>45650</v>
      </c>
      <c r="AT38" s="65" t="s">
        <v>615</v>
      </c>
      <c r="AU38" s="65"/>
      <c r="AV38" s="65">
        <v>45615</v>
      </c>
      <c r="AW38" s="65" t="s">
        <v>622</v>
      </c>
      <c r="AX38" s="65"/>
      <c r="AY38" s="65">
        <v>45570</v>
      </c>
      <c r="AZ38" s="95" t="s">
        <v>622</v>
      </c>
      <c r="BA38" s="65"/>
      <c r="BB38" s="65">
        <v>45544</v>
      </c>
      <c r="BC38" s="65" t="s">
        <v>622</v>
      </c>
      <c r="BD38" s="65"/>
      <c r="BE38" s="65"/>
      <c r="BF38" s="65"/>
      <c r="BG38" s="65"/>
      <c r="BH38" s="65">
        <v>45484</v>
      </c>
      <c r="BI38" s="65" t="s">
        <v>624</v>
      </c>
      <c r="BJ38" s="65" t="s">
        <v>615</v>
      </c>
      <c r="BK38" s="65"/>
      <c r="BL38" s="65"/>
      <c r="BM38" s="65"/>
      <c r="BN38" s="65"/>
      <c r="BO38" s="65"/>
      <c r="BP38" s="65"/>
      <c r="BQ38" s="65"/>
      <c r="BR38" s="65"/>
      <c r="BS38" s="65"/>
      <c r="BT38" s="65">
        <v>45363</v>
      </c>
      <c r="BU38" s="65" t="s">
        <v>629</v>
      </c>
      <c r="BV38" s="65"/>
      <c r="BW38" s="65"/>
      <c r="BX38" s="65"/>
      <c r="BY38" s="65"/>
      <c r="BZ38" s="65">
        <v>45322</v>
      </c>
      <c r="CA38" s="65" t="s">
        <v>629</v>
      </c>
      <c r="CB38" s="65"/>
    </row>
    <row r="39" spans="1:80" s="64" customFormat="1" ht="22" customHeight="1" x14ac:dyDescent="0.2">
      <c r="A39" s="53" t="s">
        <v>35</v>
      </c>
      <c r="B39" s="63">
        <f ca="1">TODAY()</f>
        <v>45935</v>
      </c>
      <c r="C39" s="69" t="s">
        <v>555</v>
      </c>
      <c r="D39" s="68" t="s">
        <v>417</v>
      </c>
      <c r="E39" s="64" t="s">
        <v>2</v>
      </c>
      <c r="F39" s="2" t="s">
        <v>113</v>
      </c>
      <c r="G39" s="65">
        <v>45627</v>
      </c>
      <c r="H39" s="65">
        <v>45992</v>
      </c>
      <c r="I39" s="66"/>
      <c r="J39" s="66"/>
      <c r="K39" s="66"/>
      <c r="L39" s="64" t="s">
        <v>119</v>
      </c>
      <c r="M39" s="67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>
        <v>45720</v>
      </c>
      <c r="AK39" s="65" t="s">
        <v>622</v>
      </c>
      <c r="AL39" s="65"/>
      <c r="AM39" s="65">
        <v>45693</v>
      </c>
      <c r="AN39" s="65" t="s">
        <v>622</v>
      </c>
      <c r="AO39" s="65"/>
      <c r="AP39" s="65">
        <v>45665</v>
      </c>
      <c r="AQ39" s="65" t="s">
        <v>622</v>
      </c>
      <c r="AR39" s="65"/>
      <c r="AS39" s="65">
        <v>45636</v>
      </c>
      <c r="AT39" s="65" t="s">
        <v>615</v>
      </c>
      <c r="AU39" s="65"/>
      <c r="AV39" s="65">
        <v>45611</v>
      </c>
      <c r="AW39" s="65" t="s">
        <v>622</v>
      </c>
      <c r="AX39" s="65"/>
      <c r="AY39" s="65">
        <v>45572</v>
      </c>
      <c r="AZ39" s="95" t="s">
        <v>622</v>
      </c>
      <c r="BA39" s="65"/>
      <c r="BB39" s="65">
        <v>45549</v>
      </c>
      <c r="BC39" s="65" t="s">
        <v>615</v>
      </c>
      <c r="BD39" s="65"/>
      <c r="BE39" s="65"/>
      <c r="BF39" s="65"/>
      <c r="BG39" s="65"/>
      <c r="BH39" s="65">
        <v>45495</v>
      </c>
      <c r="BI39" s="65" t="s">
        <v>624</v>
      </c>
      <c r="BJ39" s="65" t="s">
        <v>622</v>
      </c>
      <c r="BK39" s="65"/>
      <c r="BL39" s="65"/>
      <c r="BM39" s="65"/>
      <c r="BN39" s="65"/>
      <c r="BO39" s="65"/>
      <c r="BP39" s="65"/>
      <c r="BQ39" s="65">
        <v>45394</v>
      </c>
      <c r="BR39" s="65" t="s">
        <v>629</v>
      </c>
      <c r="BS39" s="65"/>
      <c r="BT39" s="65"/>
      <c r="BU39" s="65"/>
      <c r="BV39" s="65"/>
      <c r="BW39" s="65">
        <v>45350</v>
      </c>
      <c r="BX39" s="65" t="s">
        <v>631</v>
      </c>
      <c r="BY39" s="65"/>
      <c r="BZ39" s="65">
        <v>45321</v>
      </c>
      <c r="CA39" s="65" t="s">
        <v>629</v>
      </c>
      <c r="CB39" s="65"/>
    </row>
    <row r="40" spans="1:80" s="64" customFormat="1" ht="22" customHeight="1" x14ac:dyDescent="0.2">
      <c r="A40" s="53" t="s">
        <v>35</v>
      </c>
      <c r="B40" s="63">
        <f ca="1">TODAY()</f>
        <v>45935</v>
      </c>
      <c r="C40" s="69" t="s">
        <v>453</v>
      </c>
      <c r="D40" s="68" t="s">
        <v>279</v>
      </c>
      <c r="E40" s="70" t="s">
        <v>104</v>
      </c>
      <c r="F40" s="2" t="s">
        <v>111</v>
      </c>
      <c r="G40" s="65">
        <v>45328</v>
      </c>
      <c r="H40" s="65">
        <v>45692</v>
      </c>
      <c r="I40" s="66"/>
      <c r="J40" s="66"/>
      <c r="K40" s="66"/>
      <c r="L40" s="64" t="s">
        <v>119</v>
      </c>
      <c r="M40" s="67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>
        <v>45776</v>
      </c>
      <c r="AH40" s="65" t="s">
        <v>622</v>
      </c>
      <c r="AI40" s="65"/>
      <c r="AJ40" s="65">
        <v>45722</v>
      </c>
      <c r="AK40" s="65" t="s">
        <v>618</v>
      </c>
      <c r="AL40" s="65"/>
      <c r="AM40" s="65">
        <v>45689</v>
      </c>
      <c r="AN40" s="65" t="s">
        <v>622</v>
      </c>
      <c r="AO40" s="65"/>
      <c r="AP40" s="65"/>
      <c r="AQ40" s="65"/>
      <c r="AR40" s="65"/>
      <c r="AS40" s="65">
        <v>45647</v>
      </c>
      <c r="AT40" s="65" t="s">
        <v>618</v>
      </c>
      <c r="AU40" s="65"/>
      <c r="AV40" s="65">
        <v>45617</v>
      </c>
      <c r="AW40" s="65" t="s">
        <v>618</v>
      </c>
      <c r="AX40" s="65"/>
      <c r="AY40" s="65">
        <v>45583</v>
      </c>
      <c r="AZ40" s="65" t="s">
        <v>615</v>
      </c>
      <c r="BA40" s="65" t="s">
        <v>618</v>
      </c>
      <c r="BB40" s="65">
        <v>45541</v>
      </c>
      <c r="BC40" s="65" t="s">
        <v>618</v>
      </c>
      <c r="BD40" s="65"/>
      <c r="BE40" s="65"/>
      <c r="BF40" s="65"/>
      <c r="BG40" s="65"/>
      <c r="BH40" s="65">
        <v>45490</v>
      </c>
      <c r="BI40" s="65" t="s">
        <v>624</v>
      </c>
      <c r="BJ40" s="65" t="s">
        <v>622</v>
      </c>
      <c r="BK40" s="65"/>
      <c r="BL40" s="65"/>
      <c r="BM40" s="65"/>
      <c r="BN40" s="65"/>
      <c r="BO40" s="65"/>
      <c r="BP40" s="65"/>
      <c r="BQ40" s="65">
        <v>45408</v>
      </c>
      <c r="BR40" s="65" t="s">
        <v>629</v>
      </c>
      <c r="BS40" s="65"/>
      <c r="BT40" s="65">
        <v>45364</v>
      </c>
      <c r="BU40" s="65" t="s">
        <v>631</v>
      </c>
      <c r="BV40" s="65"/>
      <c r="BW40" s="65">
        <v>45329</v>
      </c>
      <c r="BX40" s="65" t="s">
        <v>629</v>
      </c>
      <c r="BY40" s="65"/>
      <c r="BZ40" s="65"/>
      <c r="CA40" s="65"/>
      <c r="CB40" s="65"/>
    </row>
    <row r="41" spans="1:80" s="64" customFormat="1" ht="22" customHeight="1" x14ac:dyDescent="0.2">
      <c r="A41" s="53" t="s">
        <v>38</v>
      </c>
      <c r="B41" s="63">
        <f ca="1">TODAY()</f>
        <v>45935</v>
      </c>
      <c r="C41" s="69" t="s">
        <v>446</v>
      </c>
      <c r="D41" s="68" t="s">
        <v>332</v>
      </c>
      <c r="E41" s="64" t="s">
        <v>34</v>
      </c>
      <c r="F41" s="2" t="s">
        <v>112</v>
      </c>
      <c r="G41" s="65">
        <v>45627</v>
      </c>
      <c r="H41" s="65">
        <v>45991</v>
      </c>
      <c r="I41" s="66">
        <f ca="1">(Table26[[#This Row],[Ref Date]]-Table26[[#This Row],[Service Start Date ]])/45</f>
        <v>6.8444444444444441</v>
      </c>
      <c r="J41" s="66">
        <f>COUNTIF(Table26[[#This Row],[2025 October
Actual]:[2024 January 
Done by 2]],"&gt;=" &amp;Table26[[#This Row],[Service Start Date ]])</f>
        <v>5</v>
      </c>
      <c r="K41" s="66">
        <f ca="1">Table26[[#This Row],[Actual Services
to be done]]-Table26[[#This Row],[Completed Services]]</f>
        <v>1.8444444444444441</v>
      </c>
      <c r="L41" s="64" t="s">
        <v>120</v>
      </c>
      <c r="M41" s="67">
        <f ca="1">B41-R41</f>
        <v>29</v>
      </c>
      <c r="N41" s="65">
        <f ca="1">((B41+(-M41+35-10)))</f>
        <v>45931</v>
      </c>
      <c r="O41" s="65"/>
      <c r="P41" s="65"/>
      <c r="Q41" s="65"/>
      <c r="R41" s="65">
        <v>45906</v>
      </c>
      <c r="S41" s="65" t="s">
        <v>620</v>
      </c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>
        <v>45794</v>
      </c>
      <c r="AE41" s="65" t="s">
        <v>618</v>
      </c>
      <c r="AF41" s="65"/>
      <c r="AG41" s="65">
        <v>45750</v>
      </c>
      <c r="AH41" s="65" t="s">
        <v>622</v>
      </c>
      <c r="AI41" s="65"/>
      <c r="AJ41" s="65"/>
      <c r="AK41" s="65"/>
      <c r="AL41" s="65"/>
      <c r="AM41" s="65">
        <v>45693</v>
      </c>
      <c r="AN41" s="65" t="s">
        <v>622</v>
      </c>
      <c r="AO41" s="65"/>
      <c r="AP41" s="65"/>
      <c r="AQ41" s="65"/>
      <c r="AR41" s="65"/>
      <c r="AS41" s="65">
        <v>45643</v>
      </c>
      <c r="AT41" s="65" t="s">
        <v>618</v>
      </c>
      <c r="AU41" s="65"/>
      <c r="AV41" s="65"/>
      <c r="AW41" s="65"/>
      <c r="AX41" s="65"/>
      <c r="AY41" s="65">
        <v>45593</v>
      </c>
      <c r="AZ41" s="65" t="s">
        <v>615</v>
      </c>
      <c r="BA41" s="65"/>
      <c r="BB41" s="65">
        <v>45551</v>
      </c>
      <c r="BC41" s="65" t="s">
        <v>618</v>
      </c>
      <c r="BD41" s="65"/>
      <c r="BE41" s="65"/>
      <c r="BF41" s="65"/>
      <c r="BG41" s="65"/>
      <c r="BH41" s="65">
        <v>45486</v>
      </c>
      <c r="BI41" s="65" t="s">
        <v>624</v>
      </c>
      <c r="BJ41" s="65"/>
      <c r="BK41" s="65"/>
      <c r="BL41" s="65"/>
      <c r="BM41" s="65"/>
      <c r="BN41" s="65"/>
      <c r="BO41" s="65"/>
      <c r="BP41" s="65"/>
      <c r="BQ41" s="65">
        <v>45410</v>
      </c>
      <c r="BR41" s="65" t="s">
        <v>629</v>
      </c>
      <c r="BS41" s="65"/>
      <c r="BT41" s="65">
        <v>45355</v>
      </c>
      <c r="BU41" s="65" t="s">
        <v>630</v>
      </c>
      <c r="BV41" s="65"/>
      <c r="BW41" s="65"/>
      <c r="BX41" s="65"/>
      <c r="BY41" s="65"/>
      <c r="BZ41" s="65">
        <v>45317</v>
      </c>
      <c r="CA41" s="65" t="s">
        <v>629</v>
      </c>
      <c r="CB41" s="65"/>
    </row>
    <row r="42" spans="1:80" s="64" customFormat="1" ht="22" customHeight="1" x14ac:dyDescent="0.2">
      <c r="A42" s="53" t="s">
        <v>38</v>
      </c>
      <c r="B42" s="63">
        <f ca="1">TODAY()</f>
        <v>45935</v>
      </c>
      <c r="C42" s="69" t="s">
        <v>447</v>
      </c>
      <c r="D42" s="68" t="s">
        <v>333</v>
      </c>
      <c r="E42" s="64" t="s">
        <v>34</v>
      </c>
      <c r="F42" s="2" t="s">
        <v>112</v>
      </c>
      <c r="G42" s="65">
        <v>45627</v>
      </c>
      <c r="H42" s="65">
        <v>45991</v>
      </c>
      <c r="I42" s="66">
        <f ca="1">(Table26[[#This Row],[Ref Date]]-Table26[[#This Row],[Service Start Date ]])/45</f>
        <v>6.8444444444444441</v>
      </c>
      <c r="J42" s="66">
        <f>COUNTIF(Table26[[#This Row],[2025 October
Actual]:[2024 January 
Done by 2]],"&gt;=" &amp;Table26[[#This Row],[Service Start Date ]])</f>
        <v>5</v>
      </c>
      <c r="K42" s="66">
        <f ca="1">Table26[[#This Row],[Actual Services
to be done]]-Table26[[#This Row],[Completed Services]]</f>
        <v>1.8444444444444441</v>
      </c>
      <c r="L42" s="64" t="s">
        <v>120</v>
      </c>
      <c r="M42" s="67">
        <f ca="1">B42-R42</f>
        <v>29</v>
      </c>
      <c r="N42" s="65">
        <f ca="1">((B42+(-M42+35-10)))</f>
        <v>45931</v>
      </c>
      <c r="O42" s="65"/>
      <c r="P42" s="65"/>
      <c r="Q42" s="65"/>
      <c r="R42" s="65">
        <v>45906</v>
      </c>
      <c r="S42" s="65" t="s">
        <v>620</v>
      </c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>
        <v>45794</v>
      </c>
      <c r="AE42" s="65" t="s">
        <v>618</v>
      </c>
      <c r="AF42" s="65"/>
      <c r="AG42" s="65">
        <v>45750</v>
      </c>
      <c r="AH42" s="65" t="s">
        <v>622</v>
      </c>
      <c r="AI42" s="65"/>
      <c r="AJ42" s="65"/>
      <c r="AK42" s="65"/>
      <c r="AL42" s="65"/>
      <c r="AM42" s="65">
        <v>45693</v>
      </c>
      <c r="AN42" s="65" t="s">
        <v>622</v>
      </c>
      <c r="AO42" s="65"/>
      <c r="AP42" s="65"/>
      <c r="AQ42" s="65"/>
      <c r="AR42" s="65"/>
      <c r="AS42" s="65">
        <v>45643</v>
      </c>
      <c r="AT42" s="65" t="s">
        <v>618</v>
      </c>
      <c r="AU42" s="65"/>
      <c r="AV42" s="65"/>
      <c r="AW42" s="65"/>
      <c r="AX42" s="65"/>
      <c r="AY42" s="65">
        <v>45593</v>
      </c>
      <c r="AZ42" s="65" t="s">
        <v>615</v>
      </c>
      <c r="BA42" s="65"/>
      <c r="BB42" s="65">
        <v>45551</v>
      </c>
      <c r="BC42" s="65" t="s">
        <v>618</v>
      </c>
      <c r="BD42" s="65"/>
      <c r="BE42" s="65"/>
      <c r="BF42" s="65"/>
      <c r="BG42" s="65"/>
      <c r="BH42" s="65">
        <v>45486</v>
      </c>
      <c r="BI42" s="65" t="s">
        <v>624</v>
      </c>
      <c r="BJ42" s="65"/>
      <c r="BK42" s="65"/>
      <c r="BL42" s="65"/>
      <c r="BM42" s="65"/>
      <c r="BN42" s="65"/>
      <c r="BO42" s="65"/>
      <c r="BP42" s="65"/>
      <c r="BQ42" s="65">
        <v>45410</v>
      </c>
      <c r="BR42" s="65" t="s">
        <v>629</v>
      </c>
      <c r="BS42" s="65"/>
      <c r="BT42" s="65">
        <v>45355</v>
      </c>
      <c r="BU42" s="65" t="s">
        <v>630</v>
      </c>
      <c r="BV42" s="65"/>
      <c r="BW42" s="65"/>
      <c r="BX42" s="65"/>
      <c r="BY42" s="65"/>
      <c r="BZ42" s="65">
        <v>45317</v>
      </c>
      <c r="CA42" s="65" t="s">
        <v>629</v>
      </c>
      <c r="CB42" s="65"/>
    </row>
    <row r="43" spans="1:80" s="64" customFormat="1" ht="22" customHeight="1" x14ac:dyDescent="0.2">
      <c r="A43" s="53" t="s">
        <v>38</v>
      </c>
      <c r="B43" s="63">
        <f ca="1">TODAY()</f>
        <v>45935</v>
      </c>
      <c r="C43" s="69" t="s">
        <v>448</v>
      </c>
      <c r="D43" s="68" t="s">
        <v>334</v>
      </c>
      <c r="E43" s="64" t="s">
        <v>34</v>
      </c>
      <c r="F43" s="2" t="s">
        <v>112</v>
      </c>
      <c r="G43" s="65">
        <v>45627</v>
      </c>
      <c r="H43" s="65">
        <v>45991</v>
      </c>
      <c r="I43" s="66">
        <f ca="1">(Table26[[#This Row],[Ref Date]]-Table26[[#This Row],[Service Start Date ]])/45</f>
        <v>6.8444444444444441</v>
      </c>
      <c r="J43" s="66">
        <f>COUNTIF(Table26[[#This Row],[2025 October
Actual]:[2024 January 
Done by 2]],"&gt;=" &amp;Table26[[#This Row],[Service Start Date ]])</f>
        <v>5</v>
      </c>
      <c r="K43" s="66">
        <f ca="1">Table26[[#This Row],[Actual Services
to be done]]-Table26[[#This Row],[Completed Services]]</f>
        <v>1.8444444444444441</v>
      </c>
      <c r="L43" s="64" t="s">
        <v>120</v>
      </c>
      <c r="M43" s="67">
        <f ca="1">B43-R43</f>
        <v>29</v>
      </c>
      <c r="N43" s="65">
        <f ca="1">((B43+(-M43+35-10)))</f>
        <v>45931</v>
      </c>
      <c r="O43" s="65"/>
      <c r="P43" s="65"/>
      <c r="Q43" s="65"/>
      <c r="R43" s="65">
        <v>45906</v>
      </c>
      <c r="S43" s="65" t="s">
        <v>620</v>
      </c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>
        <v>45794</v>
      </c>
      <c r="AE43" s="65" t="s">
        <v>618</v>
      </c>
      <c r="AF43" s="65"/>
      <c r="AG43" s="65">
        <v>45750</v>
      </c>
      <c r="AH43" s="65" t="s">
        <v>622</v>
      </c>
      <c r="AI43" s="65"/>
      <c r="AJ43" s="65"/>
      <c r="AK43" s="65"/>
      <c r="AL43" s="65"/>
      <c r="AM43" s="65">
        <v>45693</v>
      </c>
      <c r="AN43" s="65" t="s">
        <v>622</v>
      </c>
      <c r="AO43" s="65"/>
      <c r="AP43" s="65"/>
      <c r="AQ43" s="65"/>
      <c r="AR43" s="65"/>
      <c r="AS43" s="65">
        <v>45643</v>
      </c>
      <c r="AT43" s="65" t="s">
        <v>618</v>
      </c>
      <c r="AU43" s="65"/>
      <c r="AV43" s="65"/>
      <c r="AW43" s="65"/>
      <c r="AX43" s="65"/>
      <c r="AY43" s="65">
        <v>45593</v>
      </c>
      <c r="AZ43" s="65" t="s">
        <v>615</v>
      </c>
      <c r="BA43" s="65"/>
      <c r="BB43" s="65">
        <v>45551</v>
      </c>
      <c r="BC43" s="65" t="s">
        <v>618</v>
      </c>
      <c r="BD43" s="65"/>
      <c r="BE43" s="65"/>
      <c r="BF43" s="65"/>
      <c r="BG43" s="65"/>
      <c r="BH43" s="65">
        <v>45486</v>
      </c>
      <c r="BI43" s="65" t="s">
        <v>624</v>
      </c>
      <c r="BJ43" s="65"/>
      <c r="BK43" s="65"/>
      <c r="BL43" s="65"/>
      <c r="BM43" s="65"/>
      <c r="BN43" s="65"/>
      <c r="BO43" s="65"/>
      <c r="BP43" s="65"/>
      <c r="BQ43" s="65">
        <v>45410</v>
      </c>
      <c r="BR43" s="65" t="s">
        <v>629</v>
      </c>
      <c r="BS43" s="65"/>
      <c r="BT43" s="65">
        <v>45355</v>
      </c>
      <c r="BU43" s="65" t="s">
        <v>630</v>
      </c>
      <c r="BV43" s="65"/>
      <c r="BW43" s="65"/>
      <c r="BX43" s="65"/>
      <c r="BY43" s="65"/>
      <c r="BZ43" s="65">
        <v>45317</v>
      </c>
      <c r="CA43" s="65" t="s">
        <v>629</v>
      </c>
      <c r="CB43" s="65"/>
    </row>
    <row r="44" spans="1:80" s="64" customFormat="1" ht="22" customHeight="1" x14ac:dyDescent="0.2">
      <c r="A44" s="53" t="s">
        <v>37</v>
      </c>
      <c r="B44" s="63">
        <f ca="1">TODAY()</f>
        <v>45935</v>
      </c>
      <c r="C44" s="69" t="s">
        <v>510</v>
      </c>
      <c r="D44" s="68" t="s">
        <v>237</v>
      </c>
      <c r="E44" s="64" t="s">
        <v>51</v>
      </c>
      <c r="F44" s="2" t="s">
        <v>113</v>
      </c>
      <c r="G44" s="65">
        <v>45754</v>
      </c>
      <c r="H44" s="65">
        <v>46118</v>
      </c>
      <c r="I44" s="66">
        <f ca="1">(Table26[[#This Row],[Ref Date]]-Table26[[#This Row],[Service Start Date ]])/35</f>
        <v>5.1714285714285717</v>
      </c>
      <c r="J44" s="66">
        <f>COUNTIF(Table26[[#This Row],[2025 October
Actual]:[2024 January 
Done by 2]],"&gt;=" &amp;Table26[[#This Row],[Service Start Date ]])</f>
        <v>3</v>
      </c>
      <c r="K44" s="66">
        <f ca="1">Table26[[#This Row],[Actual Services
to be done]]-Table26[[#This Row],[Completed Services]]</f>
        <v>2.1714285714285717</v>
      </c>
      <c r="L44" s="64" t="s">
        <v>119</v>
      </c>
      <c r="M44" s="67">
        <f ca="1">B44-R44</f>
        <v>31</v>
      </c>
      <c r="N44" s="65">
        <f ca="1">((B44+(-M44+35-10)))</f>
        <v>45929</v>
      </c>
      <c r="O44" s="65"/>
      <c r="P44" s="65"/>
      <c r="Q44" s="65"/>
      <c r="R44" s="65">
        <v>45904</v>
      </c>
      <c r="S44" s="65" t="s">
        <v>621</v>
      </c>
      <c r="T44" s="65" t="s">
        <v>618</v>
      </c>
      <c r="U44" s="65"/>
      <c r="V44" s="65"/>
      <c r="W44" s="65"/>
      <c r="X44" s="65">
        <v>45866</v>
      </c>
      <c r="Y44" s="65" t="s">
        <v>618</v>
      </c>
      <c r="Z44" s="65"/>
      <c r="AA44" s="65"/>
      <c r="AB44" s="65"/>
      <c r="AC44" s="65"/>
      <c r="AD44" s="65">
        <v>45804</v>
      </c>
      <c r="AE44" s="65" t="s">
        <v>618</v>
      </c>
      <c r="AF44" s="65"/>
      <c r="AG44" s="65">
        <v>45752</v>
      </c>
      <c r="AH44" s="65" t="s">
        <v>622</v>
      </c>
      <c r="AI44" s="65"/>
      <c r="AJ44" s="65">
        <v>45727</v>
      </c>
      <c r="AK44" s="65" t="s">
        <v>622</v>
      </c>
      <c r="AL44" s="65"/>
      <c r="AM44" s="65">
        <v>45701</v>
      </c>
      <c r="AN44" s="65" t="s">
        <v>622</v>
      </c>
      <c r="AO44" s="65"/>
      <c r="AP44" s="65">
        <v>45684</v>
      </c>
      <c r="AQ44" s="65" t="s">
        <v>622</v>
      </c>
      <c r="AR44" s="65"/>
      <c r="AS44" s="65">
        <v>45650</v>
      </c>
      <c r="AT44" s="65" t="s">
        <v>620</v>
      </c>
      <c r="AU44" s="65"/>
      <c r="AV44" s="65">
        <v>45605</v>
      </c>
      <c r="AW44" s="65" t="s">
        <v>615</v>
      </c>
      <c r="AX44" s="65" t="s">
        <v>618</v>
      </c>
      <c r="AY44" s="65"/>
      <c r="AZ44" s="65"/>
      <c r="BA44" s="65"/>
      <c r="BB44" s="65">
        <v>45537</v>
      </c>
      <c r="BC44" s="65" t="s">
        <v>615</v>
      </c>
      <c r="BD44" s="65"/>
      <c r="BE44" s="65"/>
      <c r="BF44" s="65"/>
      <c r="BG44" s="65"/>
      <c r="BH44" s="65">
        <v>45491</v>
      </c>
      <c r="BI44" s="65" t="s">
        <v>624</v>
      </c>
      <c r="BJ44" s="65" t="s">
        <v>622</v>
      </c>
      <c r="BK44" s="65"/>
      <c r="BL44" s="65"/>
      <c r="BM44" s="65"/>
      <c r="BN44" s="65"/>
      <c r="BO44" s="65"/>
      <c r="BP44" s="65"/>
      <c r="BQ44" s="65">
        <v>45404</v>
      </c>
      <c r="BR44" s="65" t="s">
        <v>629</v>
      </c>
      <c r="BS44" s="65"/>
      <c r="BT44" s="65">
        <v>45357</v>
      </c>
      <c r="BU44" s="65" t="s">
        <v>630</v>
      </c>
      <c r="BV44" s="65"/>
      <c r="BW44" s="65"/>
      <c r="BX44" s="65"/>
      <c r="BY44" s="65"/>
      <c r="BZ44" s="65">
        <v>45317</v>
      </c>
      <c r="CA44" s="65" t="s">
        <v>629</v>
      </c>
      <c r="CB44" s="65"/>
    </row>
    <row r="45" spans="1:80" s="64" customFormat="1" ht="22" customHeight="1" x14ac:dyDescent="0.2">
      <c r="A45" s="53" t="s">
        <v>37</v>
      </c>
      <c r="B45" s="63">
        <f ca="1">TODAY()</f>
        <v>45935</v>
      </c>
      <c r="C45" s="69" t="s">
        <v>452</v>
      </c>
      <c r="D45" s="68" t="s">
        <v>387</v>
      </c>
      <c r="E45" s="64" t="s">
        <v>51</v>
      </c>
      <c r="F45" s="2" t="s">
        <v>112</v>
      </c>
      <c r="G45" s="65">
        <v>45779</v>
      </c>
      <c r="H45" s="65">
        <v>46143</v>
      </c>
      <c r="I45" s="66">
        <f ca="1">(Table26[[#This Row],[Ref Date]]-Table26[[#This Row],[Service Start Date ]])/35</f>
        <v>4.4571428571428573</v>
      </c>
      <c r="J45" s="66">
        <f>COUNTIF(Table26[[#This Row],[2025 October
Actual]:[2024 January 
Done by 2]],"&gt;=" &amp;Table26[[#This Row],[Service Start Date ]])</f>
        <v>2</v>
      </c>
      <c r="K45" s="66">
        <f ca="1">Table26[[#This Row],[Actual Services
to be done]]-Table26[[#This Row],[Completed Services]]</f>
        <v>2.4571428571428573</v>
      </c>
      <c r="L45" s="64" t="s">
        <v>119</v>
      </c>
      <c r="M45" s="67">
        <f ca="1">B45-R45</f>
        <v>34</v>
      </c>
      <c r="N45" s="65">
        <f ca="1">((B45+(-M45+35-10)))</f>
        <v>45926</v>
      </c>
      <c r="O45" s="65"/>
      <c r="P45" s="65"/>
      <c r="Q45" s="65"/>
      <c r="R45" s="65">
        <v>45901</v>
      </c>
      <c r="S45" s="65" t="s">
        <v>620</v>
      </c>
      <c r="T45" s="65"/>
      <c r="U45" s="65"/>
      <c r="V45" s="65"/>
      <c r="W45" s="65"/>
      <c r="X45" s="65"/>
      <c r="Y45" s="65"/>
      <c r="Z45" s="65"/>
      <c r="AA45" s="65">
        <v>45814</v>
      </c>
      <c r="AB45" s="65" t="s">
        <v>618</v>
      </c>
      <c r="AC45" s="65"/>
      <c r="AD45" s="65"/>
      <c r="AE45" s="65"/>
      <c r="AF45" s="65"/>
      <c r="AG45" s="65">
        <v>45752</v>
      </c>
      <c r="AH45" s="65" t="s">
        <v>622</v>
      </c>
      <c r="AI45" s="65"/>
      <c r="AJ45" s="65">
        <v>45727</v>
      </c>
      <c r="AK45" s="65" t="s">
        <v>622</v>
      </c>
      <c r="AL45" s="65"/>
      <c r="AM45" s="65">
        <v>45705</v>
      </c>
      <c r="AN45" s="65" t="s">
        <v>622</v>
      </c>
      <c r="AO45" s="65"/>
      <c r="AP45" s="65">
        <v>45684</v>
      </c>
      <c r="AQ45" s="65" t="s">
        <v>622</v>
      </c>
      <c r="AR45" s="65"/>
      <c r="AS45" s="65">
        <v>45650</v>
      </c>
      <c r="AT45" s="65" t="s">
        <v>620</v>
      </c>
      <c r="AU45" s="65"/>
      <c r="AV45" s="65">
        <v>45618</v>
      </c>
      <c r="AW45" s="65" t="s">
        <v>622</v>
      </c>
      <c r="AX45" s="65"/>
      <c r="AY45" s="65">
        <v>45587</v>
      </c>
      <c r="AZ45" s="65" t="s">
        <v>618</v>
      </c>
      <c r="BA45" s="65"/>
      <c r="BB45" s="65">
        <v>45561</v>
      </c>
      <c r="BC45" s="65" t="s">
        <v>622</v>
      </c>
      <c r="BD45" s="65"/>
      <c r="BE45" s="65">
        <v>45510</v>
      </c>
      <c r="BF45" s="65" t="s">
        <v>622</v>
      </c>
      <c r="BG45" s="65"/>
      <c r="BH45" s="65">
        <v>45491</v>
      </c>
      <c r="BI45" s="65" t="s">
        <v>624</v>
      </c>
      <c r="BJ45" s="65" t="s">
        <v>622</v>
      </c>
      <c r="BK45" s="65"/>
      <c r="BL45" s="65"/>
      <c r="BM45" s="65"/>
      <c r="BN45" s="65"/>
      <c r="BO45" s="65"/>
      <c r="BP45" s="65"/>
      <c r="BQ45" s="65">
        <v>45404</v>
      </c>
      <c r="BR45" s="65" t="s">
        <v>629</v>
      </c>
      <c r="BS45" s="65"/>
      <c r="BT45" s="65">
        <v>45363</v>
      </c>
      <c r="BU45" s="65" t="s">
        <v>629</v>
      </c>
      <c r="BV45" s="65"/>
      <c r="BW45" s="65">
        <v>45324</v>
      </c>
      <c r="BX45" s="65" t="s">
        <v>629</v>
      </c>
      <c r="BY45" s="65"/>
      <c r="BZ45" s="65"/>
      <c r="CA45" s="65"/>
      <c r="CB45" s="65"/>
    </row>
    <row r="46" spans="1:80" s="64" customFormat="1" ht="22" customHeight="1" x14ac:dyDescent="0.2">
      <c r="A46" s="53" t="s">
        <v>37</v>
      </c>
      <c r="B46" s="63">
        <f ca="1">TODAY()</f>
        <v>45935</v>
      </c>
      <c r="C46" s="69" t="s">
        <v>428</v>
      </c>
      <c r="D46" s="68" t="s">
        <v>418</v>
      </c>
      <c r="E46" s="64" t="s">
        <v>5</v>
      </c>
      <c r="F46" s="2" t="s">
        <v>112</v>
      </c>
      <c r="G46" s="65">
        <v>45627</v>
      </c>
      <c r="H46" s="65">
        <v>45992</v>
      </c>
      <c r="I46" s="66">
        <f ca="1">(Table26[[#This Row],[Ref Date]]-Table26[[#This Row],[Service Start Date ]])/35</f>
        <v>8.8000000000000007</v>
      </c>
      <c r="J46" s="66">
        <f>COUNTIF(Table26[[#This Row],[2025 October
Actual]:[2024 January 
Done by 2]],"&gt;=" &amp;Table26[[#This Row],[Service Start Date ]])</f>
        <v>8</v>
      </c>
      <c r="K46" s="66">
        <f ca="1">Table26[[#This Row],[Actual Services
to be done]]-Table26[[#This Row],[Completed Services]]</f>
        <v>0.80000000000000071</v>
      </c>
      <c r="L46" s="64" t="s">
        <v>119</v>
      </c>
      <c r="M46" s="67">
        <f ca="1">B46-R46</f>
        <v>26</v>
      </c>
      <c r="N46" s="65">
        <f ca="1">((B46+(-M46+35-10)))</f>
        <v>45934</v>
      </c>
      <c r="O46" s="65"/>
      <c r="P46" s="65"/>
      <c r="Q46" s="65"/>
      <c r="R46" s="65">
        <v>45909</v>
      </c>
      <c r="S46" s="65" t="s">
        <v>621</v>
      </c>
      <c r="T46" s="65"/>
      <c r="U46" s="65"/>
      <c r="V46" s="65"/>
      <c r="W46" s="65"/>
      <c r="X46" s="65"/>
      <c r="Y46" s="65"/>
      <c r="Z46" s="65"/>
      <c r="AA46" s="65">
        <v>45817</v>
      </c>
      <c r="AB46" s="65" t="s">
        <v>618</v>
      </c>
      <c r="AC46" s="65"/>
      <c r="AD46" s="65">
        <v>45786</v>
      </c>
      <c r="AE46" s="65" t="s">
        <v>622</v>
      </c>
      <c r="AF46" s="65"/>
      <c r="AG46" s="65">
        <v>45748</v>
      </c>
      <c r="AH46" s="65" t="s">
        <v>622</v>
      </c>
      <c r="AI46" s="65"/>
      <c r="AJ46" s="65">
        <v>45729</v>
      </c>
      <c r="AK46" s="65" t="s">
        <v>622</v>
      </c>
      <c r="AL46" s="65"/>
      <c r="AM46" s="65">
        <v>45705</v>
      </c>
      <c r="AN46" s="65" t="s">
        <v>622</v>
      </c>
      <c r="AO46" s="65"/>
      <c r="AP46" s="65">
        <v>45686</v>
      </c>
      <c r="AQ46" s="65" t="s">
        <v>622</v>
      </c>
      <c r="AR46" s="65"/>
      <c r="AS46" s="65">
        <v>45647</v>
      </c>
      <c r="AT46" s="65" t="s">
        <v>621</v>
      </c>
      <c r="AU46" s="65"/>
      <c r="AV46" s="65">
        <v>45602</v>
      </c>
      <c r="AW46" s="65" t="s">
        <v>622</v>
      </c>
      <c r="AX46" s="65"/>
      <c r="AY46" s="65">
        <v>45568</v>
      </c>
      <c r="AZ46" s="65" t="s">
        <v>618</v>
      </c>
      <c r="BA46" s="65"/>
      <c r="BB46" s="65">
        <v>45539</v>
      </c>
      <c r="BC46" s="65" t="s">
        <v>615</v>
      </c>
      <c r="BD46" s="65"/>
      <c r="BE46" s="65">
        <v>45514</v>
      </c>
      <c r="BF46" s="65" t="s">
        <v>621</v>
      </c>
      <c r="BG46" s="65" t="s">
        <v>618</v>
      </c>
      <c r="BH46" s="65">
        <v>45489</v>
      </c>
      <c r="BI46" s="65" t="s">
        <v>624</v>
      </c>
      <c r="BJ46" s="65" t="s">
        <v>622</v>
      </c>
      <c r="BK46" s="65"/>
      <c r="BL46" s="65"/>
      <c r="BM46" s="65"/>
      <c r="BN46" s="65"/>
      <c r="BO46" s="65"/>
      <c r="BP46" s="65"/>
      <c r="BQ46" s="65">
        <v>45406</v>
      </c>
      <c r="BR46" s="65" t="s">
        <v>629</v>
      </c>
      <c r="BS46" s="65"/>
      <c r="BT46" s="65">
        <v>45357</v>
      </c>
      <c r="BU46" s="65" t="s">
        <v>630</v>
      </c>
      <c r="BV46" s="65"/>
      <c r="BW46" s="65"/>
      <c r="BX46" s="65"/>
      <c r="BY46" s="65"/>
      <c r="BZ46" s="65">
        <v>45320</v>
      </c>
      <c r="CA46" s="65" t="s">
        <v>629</v>
      </c>
      <c r="CB46" s="65"/>
    </row>
    <row r="47" spans="1:80" s="64" customFormat="1" ht="22" customHeight="1" x14ac:dyDescent="0.2">
      <c r="A47" s="53" t="s">
        <v>38</v>
      </c>
      <c r="B47" s="63">
        <f ca="1">TODAY()</f>
        <v>45935</v>
      </c>
      <c r="C47" s="69" t="s">
        <v>489</v>
      </c>
      <c r="D47" s="68" t="s">
        <v>337</v>
      </c>
      <c r="E47" s="64" t="s">
        <v>6</v>
      </c>
      <c r="F47" s="2" t="s">
        <v>111</v>
      </c>
      <c r="G47" s="65">
        <v>45536</v>
      </c>
      <c r="H47" s="65">
        <v>45901</v>
      </c>
      <c r="I47" s="66">
        <v>10</v>
      </c>
      <c r="J47" s="66">
        <f>COUNTIF(Table26[[#This Row],[2025 October
Actual]:[2024 January 
Done by 2]],"&gt;=" &amp;Table26[[#This Row],[Service Start Date ]])</f>
        <v>11</v>
      </c>
      <c r="K47" s="66">
        <f>Table26[[#This Row],[Actual Services
to be done]]-Table26[[#This Row],[Completed Services]]</f>
        <v>-1</v>
      </c>
      <c r="L47" s="64" t="s">
        <v>119</v>
      </c>
      <c r="M47" s="67">
        <f ca="1">B47-R47</f>
        <v>12</v>
      </c>
      <c r="N47" s="65">
        <f ca="1">((B47+(-M47+35+10)))</f>
        <v>45968</v>
      </c>
      <c r="O47" s="65"/>
      <c r="P47" s="65"/>
      <c r="Q47" s="65"/>
      <c r="R47" s="65">
        <v>45923</v>
      </c>
      <c r="S47" s="65" t="s">
        <v>617</v>
      </c>
      <c r="T47" s="65"/>
      <c r="U47" s="65"/>
      <c r="V47" s="65"/>
      <c r="W47" s="65"/>
      <c r="X47" s="65">
        <v>45855</v>
      </c>
      <c r="Y47" s="65" t="s">
        <v>621</v>
      </c>
      <c r="Z47" s="65" t="s">
        <v>617</v>
      </c>
      <c r="AA47" s="65"/>
      <c r="AB47" s="65"/>
      <c r="AC47" s="65"/>
      <c r="AD47" s="65">
        <v>45799</v>
      </c>
      <c r="AE47" s="65" t="s">
        <v>615</v>
      </c>
      <c r="AF47" s="65"/>
      <c r="AG47" s="65">
        <v>45765</v>
      </c>
      <c r="AH47" s="65" t="s">
        <v>622</v>
      </c>
      <c r="AI47" s="65"/>
      <c r="AJ47" s="65">
        <v>45721</v>
      </c>
      <c r="AK47" s="65" t="s">
        <v>621</v>
      </c>
      <c r="AL47" s="65"/>
      <c r="AM47" s="65">
        <v>45705</v>
      </c>
      <c r="AN47" s="65" t="s">
        <v>615</v>
      </c>
      <c r="AO47" s="65"/>
      <c r="AP47" s="65">
        <v>45675</v>
      </c>
      <c r="AQ47" s="65" t="s">
        <v>615</v>
      </c>
      <c r="AR47" s="65"/>
      <c r="AS47" s="65">
        <v>45632</v>
      </c>
      <c r="AT47" s="65" t="s">
        <v>622</v>
      </c>
      <c r="AU47" s="65"/>
      <c r="AV47" s="65">
        <v>45605</v>
      </c>
      <c r="AW47" s="65" t="s">
        <v>622</v>
      </c>
      <c r="AX47" s="65"/>
      <c r="AY47" s="65">
        <v>45574</v>
      </c>
      <c r="AZ47" s="95" t="s">
        <v>622</v>
      </c>
      <c r="BA47" s="65"/>
      <c r="BB47" s="65">
        <v>45546</v>
      </c>
      <c r="BC47" s="65" t="s">
        <v>622</v>
      </c>
      <c r="BD47" s="65"/>
      <c r="BE47" s="65"/>
      <c r="BF47" s="65"/>
      <c r="BG47" s="65"/>
      <c r="BH47" s="65">
        <v>45502</v>
      </c>
      <c r="BI47" s="65" t="s">
        <v>624</v>
      </c>
      <c r="BJ47" s="65"/>
      <c r="BK47" s="65"/>
      <c r="BL47" s="65"/>
      <c r="BM47" s="65"/>
      <c r="BN47" s="65"/>
      <c r="BO47" s="65"/>
      <c r="BP47" s="65"/>
      <c r="BQ47" s="65">
        <v>45390</v>
      </c>
      <c r="BR47" s="65" t="s">
        <v>629</v>
      </c>
      <c r="BS47" s="65"/>
      <c r="BT47" s="65">
        <v>45356</v>
      </c>
      <c r="BU47" s="65" t="s">
        <v>631</v>
      </c>
      <c r="BV47" s="65"/>
      <c r="BW47" s="65"/>
      <c r="BX47" s="65"/>
      <c r="BY47" s="65"/>
      <c r="BZ47" s="65">
        <v>45318</v>
      </c>
      <c r="CA47" s="65" t="s">
        <v>629</v>
      </c>
      <c r="CB47" s="65"/>
    </row>
    <row r="48" spans="1:80" s="64" customFormat="1" ht="22" customHeight="1" x14ac:dyDescent="0.2">
      <c r="A48" s="53" t="s">
        <v>38</v>
      </c>
      <c r="B48" s="63">
        <f ca="1">TODAY()</f>
        <v>45935</v>
      </c>
      <c r="C48" s="69" t="s">
        <v>490</v>
      </c>
      <c r="D48" s="68" t="s">
        <v>338</v>
      </c>
      <c r="E48" s="64" t="s">
        <v>6</v>
      </c>
      <c r="F48" s="2" t="s">
        <v>111</v>
      </c>
      <c r="G48" s="65">
        <v>45536</v>
      </c>
      <c r="H48" s="65">
        <v>45901</v>
      </c>
      <c r="I48" s="66">
        <v>10</v>
      </c>
      <c r="J48" s="66">
        <f>COUNTIF(Table26[[#This Row],[2025 October
Actual]:[2024 January 
Done by 2]],"&gt;=" &amp;Table26[[#This Row],[Service Start Date ]])</f>
        <v>11</v>
      </c>
      <c r="K48" s="66">
        <f>Table26[[#This Row],[Actual Services
to be done]]-Table26[[#This Row],[Completed Services]]</f>
        <v>-1</v>
      </c>
      <c r="L48" s="64" t="s">
        <v>119</v>
      </c>
      <c r="M48" s="67">
        <f ca="1">B48-R48</f>
        <v>12</v>
      </c>
      <c r="N48" s="65">
        <f ca="1">((B48+(-M48+35+10)))</f>
        <v>45968</v>
      </c>
      <c r="O48" s="65"/>
      <c r="P48" s="65"/>
      <c r="Q48" s="65"/>
      <c r="R48" s="65">
        <v>45923</v>
      </c>
      <c r="S48" s="65" t="s">
        <v>617</v>
      </c>
      <c r="T48" s="65"/>
      <c r="U48" s="65"/>
      <c r="V48" s="65"/>
      <c r="W48" s="65"/>
      <c r="X48" s="65">
        <v>45855</v>
      </c>
      <c r="Y48" s="65" t="s">
        <v>621</v>
      </c>
      <c r="Z48" s="65" t="s">
        <v>617</v>
      </c>
      <c r="AA48" s="65"/>
      <c r="AB48" s="65"/>
      <c r="AC48" s="65"/>
      <c r="AD48" s="65">
        <v>45799</v>
      </c>
      <c r="AE48" s="65" t="s">
        <v>615</v>
      </c>
      <c r="AF48" s="65"/>
      <c r="AG48" s="65">
        <v>45765</v>
      </c>
      <c r="AH48" s="65" t="s">
        <v>622</v>
      </c>
      <c r="AI48" s="65"/>
      <c r="AJ48" s="65">
        <v>45721</v>
      </c>
      <c r="AK48" s="65" t="s">
        <v>621</v>
      </c>
      <c r="AL48" s="65"/>
      <c r="AM48" s="65">
        <v>45705</v>
      </c>
      <c r="AN48" s="65" t="s">
        <v>615</v>
      </c>
      <c r="AO48" s="65"/>
      <c r="AP48" s="65">
        <v>45675</v>
      </c>
      <c r="AQ48" s="65" t="s">
        <v>615</v>
      </c>
      <c r="AR48" s="65"/>
      <c r="AS48" s="65">
        <v>45632</v>
      </c>
      <c r="AT48" s="65" t="s">
        <v>622</v>
      </c>
      <c r="AU48" s="65"/>
      <c r="AV48" s="65">
        <v>45605</v>
      </c>
      <c r="AW48" s="65" t="s">
        <v>622</v>
      </c>
      <c r="AX48" s="65"/>
      <c r="AY48" s="65">
        <v>45574</v>
      </c>
      <c r="AZ48" s="95" t="s">
        <v>622</v>
      </c>
      <c r="BA48" s="65"/>
      <c r="BB48" s="65">
        <v>45546</v>
      </c>
      <c r="BC48" s="65" t="s">
        <v>622</v>
      </c>
      <c r="BD48" s="65"/>
      <c r="BE48" s="65"/>
      <c r="BF48" s="65"/>
      <c r="BG48" s="65"/>
      <c r="BH48" s="65">
        <v>45502</v>
      </c>
      <c r="BI48" s="65" t="s">
        <v>624</v>
      </c>
      <c r="BJ48" s="65"/>
      <c r="BK48" s="65"/>
      <c r="BL48" s="65"/>
      <c r="BM48" s="65"/>
      <c r="BN48" s="65"/>
      <c r="BO48" s="65"/>
      <c r="BP48" s="65"/>
      <c r="BQ48" s="65">
        <v>45390</v>
      </c>
      <c r="BR48" s="65" t="s">
        <v>629</v>
      </c>
      <c r="BS48" s="65"/>
      <c r="BT48" s="65">
        <v>45356</v>
      </c>
      <c r="BU48" s="65" t="s">
        <v>631</v>
      </c>
      <c r="BV48" s="65"/>
      <c r="BW48" s="65"/>
      <c r="BX48" s="65"/>
      <c r="BY48" s="65"/>
      <c r="BZ48" s="65">
        <v>45318</v>
      </c>
      <c r="CA48" s="65" t="s">
        <v>629</v>
      </c>
      <c r="CB48" s="65"/>
    </row>
    <row r="49" spans="1:80" s="64" customFormat="1" ht="22" customHeight="1" x14ac:dyDescent="0.2">
      <c r="A49" s="53" t="s">
        <v>38</v>
      </c>
      <c r="B49" s="63">
        <f ca="1">TODAY()</f>
        <v>45935</v>
      </c>
      <c r="C49" s="69" t="s">
        <v>579</v>
      </c>
      <c r="D49" s="68" t="s">
        <v>413</v>
      </c>
      <c r="E49" s="64" t="s">
        <v>24</v>
      </c>
      <c r="F49" s="2" t="s">
        <v>113</v>
      </c>
      <c r="G49" s="65">
        <v>45536</v>
      </c>
      <c r="H49" s="65">
        <v>45900</v>
      </c>
      <c r="I49" s="66">
        <v>10</v>
      </c>
      <c r="J49" s="66">
        <f>COUNTIF(Table26[[#This Row],[2025 October
Actual]:[2024 January 
Done by 2]],"&gt;=" &amp;Table26[[#This Row],[Service Start Date ]])</f>
        <v>10</v>
      </c>
      <c r="K49" s="66">
        <f>Table26[[#This Row],[Actual Services
to be done]]-Table26[[#This Row],[Completed Services]]</f>
        <v>0</v>
      </c>
      <c r="L49" s="64" t="s">
        <v>119</v>
      </c>
      <c r="M49" s="67">
        <f ca="1">B49-X49</f>
        <v>86</v>
      </c>
      <c r="N49" s="65">
        <f ca="1">((B49+(-M49+35)))</f>
        <v>45884</v>
      </c>
      <c r="O49" s="65"/>
      <c r="P49" s="65"/>
      <c r="Q49" s="65"/>
      <c r="R49" s="65"/>
      <c r="S49" s="65"/>
      <c r="T49" s="65"/>
      <c r="U49" s="65"/>
      <c r="V49" s="65"/>
      <c r="W49" s="65"/>
      <c r="X49" s="65">
        <v>45849</v>
      </c>
      <c r="Y49" s="65" t="s">
        <v>620</v>
      </c>
      <c r="Z49" s="65"/>
      <c r="AA49" s="65"/>
      <c r="AB49" s="65"/>
      <c r="AC49" s="65"/>
      <c r="AD49" s="65">
        <v>45784</v>
      </c>
      <c r="AE49" s="65" t="s">
        <v>622</v>
      </c>
      <c r="AF49" s="65"/>
      <c r="AG49" s="65">
        <v>45749</v>
      </c>
      <c r="AH49" s="65" t="s">
        <v>622</v>
      </c>
      <c r="AI49" s="65"/>
      <c r="AJ49" s="65">
        <v>45723</v>
      </c>
      <c r="AK49" s="65" t="s">
        <v>622</v>
      </c>
      <c r="AL49" s="65"/>
      <c r="AM49" s="65">
        <v>45699</v>
      </c>
      <c r="AN49" s="65" t="s">
        <v>622</v>
      </c>
      <c r="AO49" s="65"/>
      <c r="AP49" s="65">
        <v>45677</v>
      </c>
      <c r="AQ49" s="65" t="s">
        <v>618</v>
      </c>
      <c r="AR49" s="65"/>
      <c r="AS49" s="65">
        <v>45657</v>
      </c>
      <c r="AT49" s="65" t="s">
        <v>622</v>
      </c>
      <c r="AU49" s="65"/>
      <c r="AV49" s="65">
        <v>45609</v>
      </c>
      <c r="AW49" s="65" t="s">
        <v>622</v>
      </c>
      <c r="AX49" s="65"/>
      <c r="AY49" s="65">
        <v>45570</v>
      </c>
      <c r="AZ49" s="95" t="s">
        <v>622</v>
      </c>
      <c r="BA49" s="65"/>
      <c r="BB49" s="65">
        <v>45541</v>
      </c>
      <c r="BC49" s="65" t="s">
        <v>615</v>
      </c>
      <c r="BD49" s="65"/>
      <c r="BE49" s="65"/>
      <c r="BF49" s="65"/>
      <c r="BG49" s="65"/>
      <c r="BH49" s="65">
        <v>45489</v>
      </c>
      <c r="BI49" s="65" t="s">
        <v>624</v>
      </c>
      <c r="BJ49" s="65" t="s">
        <v>622</v>
      </c>
      <c r="BK49" s="65"/>
      <c r="BL49" s="65"/>
      <c r="BM49" s="65"/>
      <c r="BN49" s="65"/>
      <c r="BO49" s="65"/>
      <c r="BP49" s="65"/>
      <c r="BQ49" s="65">
        <v>45385</v>
      </c>
      <c r="BR49" s="65" t="s">
        <v>629</v>
      </c>
      <c r="BS49" s="65"/>
      <c r="BT49" s="65"/>
      <c r="BU49" s="65"/>
      <c r="BV49" s="65"/>
      <c r="BW49" s="65">
        <v>45334</v>
      </c>
      <c r="BX49" s="65" t="s">
        <v>630</v>
      </c>
      <c r="BY49" s="65"/>
      <c r="BZ49" s="65"/>
      <c r="CA49" s="65"/>
      <c r="CB49" s="65"/>
    </row>
    <row r="50" spans="1:80" s="64" customFormat="1" ht="22" customHeight="1" x14ac:dyDescent="0.2">
      <c r="A50" s="53" t="s">
        <v>37</v>
      </c>
      <c r="B50" s="63">
        <f ca="1">TODAY()</f>
        <v>45935</v>
      </c>
      <c r="C50" s="69" t="s">
        <v>423</v>
      </c>
      <c r="D50" s="68" t="s">
        <v>311</v>
      </c>
      <c r="E50" s="64" t="s">
        <v>5</v>
      </c>
      <c r="F50" s="2" t="s">
        <v>112</v>
      </c>
      <c r="G50" s="65">
        <v>45870</v>
      </c>
      <c r="H50" s="65">
        <v>46234</v>
      </c>
      <c r="I50" s="66">
        <f ca="1">(Table26[[#This Row],[Ref Date]]-Table26[[#This Row],[Service Start Date ]])/35</f>
        <v>1.8571428571428572</v>
      </c>
      <c r="J50" s="66">
        <f>COUNTIF(Table26[[#This Row],[2025 October
Actual]:[2024 January 
Done by 2]],"&gt;=" &amp;Table26[[#This Row],[Service Start Date ]])</f>
        <v>1</v>
      </c>
      <c r="K50" s="66">
        <f ca="1">Table26[[#This Row],[Actual Services
to be done]]-Table26[[#This Row],[Completed Services]]</f>
        <v>0.85714285714285721</v>
      </c>
      <c r="L50" s="64" t="s">
        <v>119</v>
      </c>
      <c r="M50" s="67">
        <f ca="1">B50-R50</f>
        <v>16</v>
      </c>
      <c r="N50" s="65">
        <f ca="1">((B50+(-M50+35-10)))</f>
        <v>45944</v>
      </c>
      <c r="O50" s="65"/>
      <c r="P50" s="65"/>
      <c r="Q50" s="65"/>
      <c r="R50" s="65">
        <v>45919</v>
      </c>
      <c r="S50" s="65" t="s">
        <v>617</v>
      </c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>
        <v>45784</v>
      </c>
      <c r="AE50" s="65" t="s">
        <v>622</v>
      </c>
      <c r="AF50" s="65"/>
      <c r="AG50" s="65">
        <v>45748</v>
      </c>
      <c r="AH50" s="65" t="s">
        <v>622</v>
      </c>
      <c r="AI50" s="65"/>
      <c r="AJ50" s="65">
        <v>45729</v>
      </c>
      <c r="AK50" s="65" t="s">
        <v>622</v>
      </c>
      <c r="AL50" s="65"/>
      <c r="AM50" s="65">
        <v>45705</v>
      </c>
      <c r="AN50" s="65" t="s">
        <v>622</v>
      </c>
      <c r="AO50" s="65"/>
      <c r="AP50" s="65">
        <v>45686</v>
      </c>
      <c r="AQ50" s="65" t="s">
        <v>622</v>
      </c>
      <c r="AR50" s="65"/>
      <c r="AS50" s="65">
        <v>45657</v>
      </c>
      <c r="AT50" s="65" t="s">
        <v>622</v>
      </c>
      <c r="AU50" s="65"/>
      <c r="AV50" s="65">
        <v>45610</v>
      </c>
      <c r="AW50" s="65" t="s">
        <v>622</v>
      </c>
      <c r="AX50" s="65"/>
      <c r="AY50" s="65">
        <v>45568</v>
      </c>
      <c r="AZ50" s="65" t="s">
        <v>618</v>
      </c>
      <c r="BA50" s="65"/>
      <c r="BB50" s="65">
        <v>45539</v>
      </c>
      <c r="BC50" s="65" t="s">
        <v>615</v>
      </c>
      <c r="BD50" s="65"/>
      <c r="BE50" s="65"/>
      <c r="BF50" s="65"/>
      <c r="BG50" s="65"/>
      <c r="BH50" s="65">
        <v>45489</v>
      </c>
      <c r="BI50" s="65" t="s">
        <v>624</v>
      </c>
      <c r="BJ50" s="65" t="s">
        <v>622</v>
      </c>
      <c r="BK50" s="65"/>
      <c r="BL50" s="65"/>
      <c r="BM50" s="65"/>
      <c r="BN50" s="65">
        <v>45441</v>
      </c>
      <c r="BO50" s="65" t="s">
        <v>621</v>
      </c>
      <c r="BP50" s="65"/>
      <c r="BQ50" s="65">
        <v>45406</v>
      </c>
      <c r="BR50" s="65" t="s">
        <v>629</v>
      </c>
      <c r="BS50" s="65"/>
      <c r="BT50" s="65">
        <v>45357</v>
      </c>
      <c r="BU50" s="65" t="s">
        <v>630</v>
      </c>
      <c r="BV50" s="65"/>
      <c r="BW50" s="65">
        <v>45325</v>
      </c>
      <c r="BX50" s="65" t="s">
        <v>630</v>
      </c>
      <c r="BY50" s="65"/>
      <c r="BZ50" s="65"/>
      <c r="CA50" s="65"/>
      <c r="CB50" s="65"/>
    </row>
    <row r="51" spans="1:80" s="64" customFormat="1" ht="22" customHeight="1" x14ac:dyDescent="0.2">
      <c r="A51" s="53" t="s">
        <v>37</v>
      </c>
      <c r="B51" s="63">
        <f ca="1">TODAY()</f>
        <v>45935</v>
      </c>
      <c r="C51" s="69" t="s">
        <v>563</v>
      </c>
      <c r="D51" s="68" t="s">
        <v>227</v>
      </c>
      <c r="E51" s="64" t="s">
        <v>5</v>
      </c>
      <c r="F51" s="2" t="s">
        <v>113</v>
      </c>
      <c r="G51" s="65">
        <v>45641</v>
      </c>
      <c r="H51" s="65">
        <v>46005</v>
      </c>
      <c r="I51" s="66">
        <f ca="1">(Table26[[#This Row],[Ref Date]]-Table26[[#This Row],[Service Start Date ]])/35</f>
        <v>8.4</v>
      </c>
      <c r="J51" s="66">
        <f>COUNTIF(Table26[[#This Row],[2025 October
Actual]:[2024 January 
Done by 2]],"&gt;=" &amp;Table26[[#This Row],[Service Start Date ]])</f>
        <v>7</v>
      </c>
      <c r="K51" s="66">
        <f ca="1">Table26[[#This Row],[Actual Services
to be done]]-Table26[[#This Row],[Completed Services]]</f>
        <v>1.4000000000000004</v>
      </c>
      <c r="L51" s="64" t="s">
        <v>119</v>
      </c>
      <c r="M51" s="67">
        <f ca="1">B51-R51</f>
        <v>16</v>
      </c>
      <c r="N51" s="65">
        <f ca="1">((B51+(-M51+35-10)))</f>
        <v>45944</v>
      </c>
      <c r="O51" s="65"/>
      <c r="P51" s="65"/>
      <c r="Q51" s="65"/>
      <c r="R51" s="65">
        <v>45919</v>
      </c>
      <c r="S51" s="65" t="s">
        <v>617</v>
      </c>
      <c r="T51" s="65"/>
      <c r="U51" s="65"/>
      <c r="V51" s="65"/>
      <c r="W51" s="65"/>
      <c r="X51" s="65"/>
      <c r="Y51" s="65"/>
      <c r="Z51" s="65"/>
      <c r="AA51" s="65">
        <v>45817</v>
      </c>
      <c r="AB51" s="65" t="s">
        <v>618</v>
      </c>
      <c r="AC51" s="65"/>
      <c r="AD51" s="65">
        <v>45784</v>
      </c>
      <c r="AE51" s="65" t="s">
        <v>622</v>
      </c>
      <c r="AF51" s="65"/>
      <c r="AG51" s="65">
        <v>45749</v>
      </c>
      <c r="AH51" s="65" t="s">
        <v>622</v>
      </c>
      <c r="AI51" s="65"/>
      <c r="AJ51" s="65"/>
      <c r="AK51" s="65"/>
      <c r="AL51" s="65"/>
      <c r="AM51" s="65">
        <v>45713</v>
      </c>
      <c r="AN51" s="65" t="s">
        <v>622</v>
      </c>
      <c r="AO51" s="65"/>
      <c r="AP51" s="65">
        <v>45686</v>
      </c>
      <c r="AQ51" s="65" t="s">
        <v>622</v>
      </c>
      <c r="AR51" s="65"/>
      <c r="AS51" s="65">
        <v>45657</v>
      </c>
      <c r="AT51" s="65" t="s">
        <v>622</v>
      </c>
      <c r="AU51" s="65"/>
      <c r="AV51" s="65">
        <v>45600</v>
      </c>
      <c r="AW51" s="65" t="s">
        <v>618</v>
      </c>
      <c r="AX51" s="65"/>
      <c r="AY51" s="65">
        <v>45568</v>
      </c>
      <c r="AZ51" s="65" t="s">
        <v>618</v>
      </c>
      <c r="BA51" s="65"/>
      <c r="BB51" s="65">
        <v>45539</v>
      </c>
      <c r="BC51" s="65" t="s">
        <v>615</v>
      </c>
      <c r="BD51" s="65"/>
      <c r="BE51" s="65"/>
      <c r="BF51" s="65"/>
      <c r="BG51" s="65"/>
      <c r="BH51" s="65">
        <v>45496</v>
      </c>
      <c r="BI51" s="65" t="s">
        <v>624</v>
      </c>
      <c r="BJ51" s="65" t="s">
        <v>622</v>
      </c>
      <c r="BK51" s="65"/>
      <c r="BL51" s="65"/>
      <c r="BM51" s="65"/>
      <c r="BN51" s="65"/>
      <c r="BO51" s="65"/>
      <c r="BP51" s="65"/>
      <c r="BQ51" s="65"/>
      <c r="BR51" s="65"/>
      <c r="BS51" s="65"/>
      <c r="BT51" s="65">
        <v>45365</v>
      </c>
      <c r="BU51" s="65" t="s">
        <v>630</v>
      </c>
      <c r="BV51" s="65"/>
      <c r="BW51" s="65">
        <v>45325</v>
      </c>
      <c r="BX51" s="65" t="s">
        <v>630</v>
      </c>
      <c r="BY51" s="65"/>
      <c r="BZ51" s="65"/>
      <c r="CA51" s="65"/>
      <c r="CB51" s="65"/>
    </row>
    <row r="52" spans="1:80" s="64" customFormat="1" ht="22" customHeight="1" x14ac:dyDescent="0.2">
      <c r="A52" s="53" t="s">
        <v>37</v>
      </c>
      <c r="B52" s="63">
        <f ca="1">TODAY()</f>
        <v>45935</v>
      </c>
      <c r="C52" s="69" t="s">
        <v>564</v>
      </c>
      <c r="D52" s="68" t="s">
        <v>228</v>
      </c>
      <c r="E52" s="64" t="s">
        <v>5</v>
      </c>
      <c r="F52" s="2" t="s">
        <v>113</v>
      </c>
      <c r="G52" s="65">
        <v>45641</v>
      </c>
      <c r="H52" s="65">
        <v>46006</v>
      </c>
      <c r="I52" s="66">
        <f ca="1">(Table26[[#This Row],[Ref Date]]-Table26[[#This Row],[Service Start Date ]])/35</f>
        <v>8.4</v>
      </c>
      <c r="J52" s="66">
        <f>COUNTIF(Table26[[#This Row],[2025 October
Actual]:[2024 January 
Done by 2]],"&gt;=" &amp;Table26[[#This Row],[Service Start Date ]])</f>
        <v>7</v>
      </c>
      <c r="K52" s="66">
        <f ca="1">Table26[[#This Row],[Actual Services
to be done]]-Table26[[#This Row],[Completed Services]]</f>
        <v>1.4000000000000004</v>
      </c>
      <c r="L52" s="64" t="s">
        <v>119</v>
      </c>
      <c r="M52" s="67">
        <f ca="1">B52-R52</f>
        <v>16</v>
      </c>
      <c r="N52" s="65">
        <f ca="1">((B52+(-M52+35-10)))</f>
        <v>45944</v>
      </c>
      <c r="O52" s="65"/>
      <c r="P52" s="65"/>
      <c r="Q52" s="65"/>
      <c r="R52" s="65">
        <v>45919</v>
      </c>
      <c r="S52" s="65" t="s">
        <v>617</v>
      </c>
      <c r="T52" s="65"/>
      <c r="U52" s="65"/>
      <c r="V52" s="65"/>
      <c r="W52" s="65"/>
      <c r="X52" s="65"/>
      <c r="Y52" s="65"/>
      <c r="Z52" s="65"/>
      <c r="AA52" s="65">
        <v>45817</v>
      </c>
      <c r="AB52" s="65" t="s">
        <v>618</v>
      </c>
      <c r="AC52" s="65"/>
      <c r="AD52" s="65">
        <v>45784</v>
      </c>
      <c r="AE52" s="65" t="s">
        <v>622</v>
      </c>
      <c r="AF52" s="65"/>
      <c r="AG52" s="65">
        <v>45749</v>
      </c>
      <c r="AH52" s="65" t="s">
        <v>622</v>
      </c>
      <c r="AI52" s="65"/>
      <c r="AJ52" s="65"/>
      <c r="AK52" s="65"/>
      <c r="AL52" s="65"/>
      <c r="AM52" s="65">
        <v>45713</v>
      </c>
      <c r="AN52" s="65" t="s">
        <v>622</v>
      </c>
      <c r="AO52" s="65"/>
      <c r="AP52" s="65">
        <v>45686</v>
      </c>
      <c r="AQ52" s="65" t="s">
        <v>622</v>
      </c>
      <c r="AR52" s="65"/>
      <c r="AS52" s="65">
        <v>45657</v>
      </c>
      <c r="AT52" s="65" t="s">
        <v>622</v>
      </c>
      <c r="AU52" s="65"/>
      <c r="AV52" s="65">
        <v>45600</v>
      </c>
      <c r="AW52" s="65" t="s">
        <v>618</v>
      </c>
      <c r="AX52" s="65"/>
      <c r="AY52" s="65">
        <v>45568</v>
      </c>
      <c r="AZ52" s="65" t="s">
        <v>618</v>
      </c>
      <c r="BA52" s="65"/>
      <c r="BB52" s="65">
        <v>45539</v>
      </c>
      <c r="BC52" s="65" t="s">
        <v>615</v>
      </c>
      <c r="BD52" s="65"/>
      <c r="BE52" s="65"/>
      <c r="BF52" s="65"/>
      <c r="BG52" s="65"/>
      <c r="BH52" s="65">
        <v>45496</v>
      </c>
      <c r="BI52" s="65" t="s">
        <v>624</v>
      </c>
      <c r="BJ52" s="65" t="s">
        <v>622</v>
      </c>
      <c r="BK52" s="65"/>
      <c r="BL52" s="65"/>
      <c r="BM52" s="65"/>
      <c r="BN52" s="65"/>
      <c r="BO52" s="65"/>
      <c r="BP52" s="65"/>
      <c r="BQ52" s="65"/>
      <c r="BR52" s="65"/>
      <c r="BS52" s="65"/>
      <c r="BT52" s="65">
        <v>45365</v>
      </c>
      <c r="BU52" s="65" t="s">
        <v>630</v>
      </c>
      <c r="BV52" s="65"/>
      <c r="BW52" s="65">
        <v>45325</v>
      </c>
      <c r="BX52" s="65" t="s">
        <v>630</v>
      </c>
      <c r="BY52" s="65"/>
      <c r="BZ52" s="65"/>
      <c r="CA52" s="65"/>
      <c r="CB52" s="65"/>
    </row>
    <row r="53" spans="1:80" s="64" customFormat="1" ht="22" customHeight="1" x14ac:dyDescent="0.2">
      <c r="A53" s="53" t="s">
        <v>37</v>
      </c>
      <c r="B53" s="63">
        <f ca="1">TODAY()</f>
        <v>45935</v>
      </c>
      <c r="C53" s="69" t="s">
        <v>496</v>
      </c>
      <c r="D53" s="68" t="s">
        <v>389</v>
      </c>
      <c r="E53" s="64" t="s">
        <v>13</v>
      </c>
      <c r="F53" s="2" t="s">
        <v>111</v>
      </c>
      <c r="G53" s="65">
        <v>45659</v>
      </c>
      <c r="H53" s="65">
        <v>46023</v>
      </c>
      <c r="I53" s="66">
        <f ca="1">(Table26[[#This Row],[Ref Date]]-Table26[[#This Row],[Service Start Date ]])/35</f>
        <v>7.8857142857142861</v>
      </c>
      <c r="J53" s="66">
        <f>COUNTIF(Table26[[#This Row],[2025 October
Actual]:[2024 January 
Done by 2]],"&gt;=" &amp;Table26[[#This Row],[Service Start Date ]])</f>
        <v>6</v>
      </c>
      <c r="K53" s="66">
        <f ca="1">Table26[[#This Row],[Actual Services
to be done]]-Table26[[#This Row],[Completed Services]]</f>
        <v>1.8857142857142861</v>
      </c>
      <c r="L53" s="64" t="s">
        <v>119</v>
      </c>
      <c r="M53" s="67">
        <f ca="1">B53-U53</f>
        <v>57</v>
      </c>
      <c r="N53" s="65">
        <f ca="1">((B53+(-M53+35-10)))</f>
        <v>45903</v>
      </c>
      <c r="O53" s="65"/>
      <c r="P53" s="65"/>
      <c r="Q53" s="65"/>
      <c r="R53" s="65"/>
      <c r="S53" s="65"/>
      <c r="T53" s="65"/>
      <c r="U53" s="65">
        <v>45878</v>
      </c>
      <c r="V53" s="65" t="s">
        <v>618</v>
      </c>
      <c r="W53" s="65"/>
      <c r="X53" s="65">
        <v>45839</v>
      </c>
      <c r="Y53" s="65" t="s">
        <v>618</v>
      </c>
      <c r="Z53" s="65"/>
      <c r="AA53" s="65"/>
      <c r="AB53" s="65"/>
      <c r="AC53" s="65"/>
      <c r="AD53" s="65">
        <v>45791</v>
      </c>
      <c r="AE53" s="65" t="s">
        <v>618</v>
      </c>
      <c r="AF53" s="65"/>
      <c r="AG53" s="65">
        <v>45768</v>
      </c>
      <c r="AH53" s="65" t="s">
        <v>622</v>
      </c>
      <c r="AI53" s="65"/>
      <c r="AJ53" s="65">
        <v>45722</v>
      </c>
      <c r="AK53" s="65" t="s">
        <v>615</v>
      </c>
      <c r="AL53" s="65"/>
      <c r="AM53" s="65"/>
      <c r="AN53" s="65"/>
      <c r="AO53" s="65"/>
      <c r="AP53" s="65">
        <v>45683</v>
      </c>
      <c r="AQ53" s="65" t="s">
        <v>615</v>
      </c>
      <c r="AR53" s="65"/>
      <c r="AS53" s="65">
        <v>45633</v>
      </c>
      <c r="AT53" s="65" t="s">
        <v>622</v>
      </c>
      <c r="AU53" s="65"/>
      <c r="AV53" s="65">
        <v>45603</v>
      </c>
      <c r="AW53" s="65" t="s">
        <v>622</v>
      </c>
      <c r="AX53" s="65"/>
      <c r="AY53" s="65">
        <v>45573</v>
      </c>
      <c r="AZ53" s="95" t="s">
        <v>622</v>
      </c>
      <c r="BA53" s="65"/>
      <c r="BB53" s="65">
        <v>45545</v>
      </c>
      <c r="BC53" s="65" t="s">
        <v>622</v>
      </c>
      <c r="BD53" s="65"/>
      <c r="BE53" s="65"/>
      <c r="BF53" s="65"/>
      <c r="BG53" s="65"/>
      <c r="BH53" s="65">
        <v>45485</v>
      </c>
      <c r="BI53" s="65" t="s">
        <v>624</v>
      </c>
      <c r="BJ53" s="65"/>
      <c r="BK53" s="65"/>
      <c r="BL53" s="65"/>
      <c r="BM53" s="65"/>
      <c r="BN53" s="65"/>
      <c r="BO53" s="65"/>
      <c r="BP53" s="65"/>
      <c r="BQ53" s="65">
        <v>45409</v>
      </c>
      <c r="BR53" s="65" t="s">
        <v>629</v>
      </c>
      <c r="BS53" s="65"/>
      <c r="BT53" s="87"/>
      <c r="BU53" s="87"/>
      <c r="BV53" s="65"/>
      <c r="BW53" s="65">
        <v>45351</v>
      </c>
      <c r="BX53" s="65" t="s">
        <v>630</v>
      </c>
      <c r="BY53" s="65"/>
      <c r="BZ53" s="65">
        <v>45314</v>
      </c>
      <c r="CA53" s="65" t="s">
        <v>629</v>
      </c>
      <c r="CB53" s="65"/>
    </row>
    <row r="54" spans="1:80" s="64" customFormat="1" ht="22" customHeight="1" x14ac:dyDescent="0.2">
      <c r="A54" s="53" t="s">
        <v>38</v>
      </c>
      <c r="B54" s="63">
        <f ca="1">TODAY()</f>
        <v>45935</v>
      </c>
      <c r="C54" s="69" t="s">
        <v>456</v>
      </c>
      <c r="D54" s="68" t="s">
        <v>275</v>
      </c>
      <c r="E54" s="64" t="s">
        <v>104</v>
      </c>
      <c r="F54" s="2" t="s">
        <v>111</v>
      </c>
      <c r="G54" s="65">
        <v>45566</v>
      </c>
      <c r="H54" s="65">
        <v>45930</v>
      </c>
      <c r="I54" s="66">
        <v>10</v>
      </c>
      <c r="J54" s="66">
        <f>COUNTIF(Table26[[#This Row],[2025 October
Actual]:[2024 January 
Done by 2]],"&gt;=" &amp;Table26[[#This Row],[Service Start Date ]])</f>
        <v>9</v>
      </c>
      <c r="K54" s="66">
        <f>Table26[[#This Row],[Actual Services
to be done]]-Table26[[#This Row],[Completed Services]]</f>
        <v>1</v>
      </c>
      <c r="L54" s="64" t="s">
        <v>119</v>
      </c>
      <c r="M54" s="67">
        <f ca="1">B54-R54</f>
        <v>13</v>
      </c>
      <c r="N54" s="65">
        <f ca="1">((B54+(-M54+35)))</f>
        <v>45957</v>
      </c>
      <c r="O54" s="65"/>
      <c r="P54" s="65"/>
      <c r="Q54" s="65"/>
      <c r="R54" s="65">
        <v>45922</v>
      </c>
      <c r="S54" s="65" t="s">
        <v>618</v>
      </c>
      <c r="T54" s="65"/>
      <c r="U54" s="65"/>
      <c r="V54" s="65"/>
      <c r="W54" s="65"/>
      <c r="X54" s="65">
        <v>45848</v>
      </c>
      <c r="Y54" s="65" t="s">
        <v>618</v>
      </c>
      <c r="Z54" s="65"/>
      <c r="AA54" s="65"/>
      <c r="AB54" s="65"/>
      <c r="AC54" s="65"/>
      <c r="AD54" s="65">
        <v>45801</v>
      </c>
      <c r="AE54" s="65" t="s">
        <v>618</v>
      </c>
      <c r="AF54" s="65"/>
      <c r="AG54" s="65">
        <v>45776</v>
      </c>
      <c r="AH54" s="65" t="s">
        <v>622</v>
      </c>
      <c r="AI54" s="65"/>
      <c r="AJ54" s="65">
        <v>45727</v>
      </c>
      <c r="AK54" s="65" t="s">
        <v>615</v>
      </c>
      <c r="AL54" s="65"/>
      <c r="AM54" s="65">
        <v>45693</v>
      </c>
      <c r="AN54" s="65" t="s">
        <v>615</v>
      </c>
      <c r="AO54" s="65"/>
      <c r="AP54" s="65">
        <v>45659</v>
      </c>
      <c r="AQ54" s="65" t="s">
        <v>615</v>
      </c>
      <c r="AR54" s="65"/>
      <c r="AS54" s="65"/>
      <c r="AT54" s="65"/>
      <c r="AU54" s="65"/>
      <c r="AV54" s="65">
        <v>45615</v>
      </c>
      <c r="AW54" s="65" t="s">
        <v>615</v>
      </c>
      <c r="AX54" s="65"/>
      <c r="AY54" s="65">
        <v>45583</v>
      </c>
      <c r="AZ54" s="65" t="s">
        <v>615</v>
      </c>
      <c r="BA54" s="65" t="s">
        <v>618</v>
      </c>
      <c r="BB54" s="65">
        <v>45558</v>
      </c>
      <c r="BC54" s="65" t="s">
        <v>615</v>
      </c>
      <c r="BD54" s="65"/>
      <c r="BE54" s="65">
        <v>45525</v>
      </c>
      <c r="BF54" s="65" t="s">
        <v>615</v>
      </c>
      <c r="BG54" s="65"/>
      <c r="BH54" s="65">
        <v>45490</v>
      </c>
      <c r="BI54" s="65" t="s">
        <v>624</v>
      </c>
      <c r="BJ54" s="65" t="s">
        <v>622</v>
      </c>
      <c r="BK54" s="65"/>
      <c r="BL54" s="65"/>
      <c r="BM54" s="65"/>
      <c r="BN54" s="65">
        <v>45425</v>
      </c>
      <c r="BO54" s="65" t="s">
        <v>628</v>
      </c>
      <c r="BP54" s="65"/>
      <c r="BQ54" s="65">
        <v>45390</v>
      </c>
      <c r="BR54" s="65" t="s">
        <v>621</v>
      </c>
      <c r="BS54" s="65"/>
      <c r="BT54" s="65"/>
      <c r="BU54" s="65"/>
      <c r="BV54" s="65"/>
      <c r="BW54" s="65">
        <v>45351</v>
      </c>
      <c r="BX54" s="65" t="s">
        <v>631</v>
      </c>
      <c r="BY54" s="65"/>
      <c r="BZ54" s="65">
        <v>45301</v>
      </c>
      <c r="CA54" s="65" t="s">
        <v>629</v>
      </c>
      <c r="CB54" s="65"/>
    </row>
    <row r="55" spans="1:80" s="64" customFormat="1" ht="22" customHeight="1" x14ac:dyDescent="0.2">
      <c r="A55" s="53" t="s">
        <v>38</v>
      </c>
      <c r="B55" s="63">
        <f ca="1">TODAY()</f>
        <v>45935</v>
      </c>
      <c r="C55" s="69" t="s">
        <v>517</v>
      </c>
      <c r="D55" s="68" t="s">
        <v>329</v>
      </c>
      <c r="E55" s="85" t="s">
        <v>7</v>
      </c>
      <c r="F55" s="2" t="s">
        <v>111</v>
      </c>
      <c r="G55" s="65">
        <v>45566</v>
      </c>
      <c r="H55" s="65">
        <v>45930</v>
      </c>
      <c r="I55" s="66">
        <v>10</v>
      </c>
      <c r="J55" s="66">
        <f>COUNTIF(Table26[[#This Row],[2025 October
Actual]:[2024 January 
Done by 2]],"&gt;=" &amp;Table26[[#This Row],[Service Start Date ]])</f>
        <v>8</v>
      </c>
      <c r="K55" s="66">
        <f>Table26[[#This Row],[Actual Services
to be done]]-Table26[[#This Row],[Completed Services]]</f>
        <v>2</v>
      </c>
      <c r="L55" s="64" t="s">
        <v>119</v>
      </c>
      <c r="M55" s="67">
        <f ca="1">B55-R55</f>
        <v>8</v>
      </c>
      <c r="N55" s="65">
        <f ca="1">((B55+(-M55+35)))</f>
        <v>45962</v>
      </c>
      <c r="O55" s="65"/>
      <c r="P55" s="65"/>
      <c r="Q55" s="65"/>
      <c r="R55" s="65">
        <v>45927</v>
      </c>
      <c r="S55" s="65" t="s">
        <v>615</v>
      </c>
      <c r="T55" s="65"/>
      <c r="U55" s="65"/>
      <c r="V55" s="65"/>
      <c r="W55" s="65"/>
      <c r="X55" s="65"/>
      <c r="Y55" s="65"/>
      <c r="Z55" s="65"/>
      <c r="AA55" s="65">
        <v>45821</v>
      </c>
      <c r="AB55" s="65" t="s">
        <v>618</v>
      </c>
      <c r="AC55" s="65"/>
      <c r="AD55" s="65"/>
      <c r="AE55" s="65"/>
      <c r="AF55" s="65"/>
      <c r="AG55" s="65">
        <v>45775</v>
      </c>
      <c r="AH55" s="65" t="s">
        <v>622</v>
      </c>
      <c r="AI55" s="65"/>
      <c r="AJ55" s="65">
        <v>45722</v>
      </c>
      <c r="AK55" s="65" t="s">
        <v>615</v>
      </c>
      <c r="AL55" s="65"/>
      <c r="AM55" s="65">
        <v>45691</v>
      </c>
      <c r="AN55" s="65" t="s">
        <v>615</v>
      </c>
      <c r="AO55" s="65"/>
      <c r="AP55" s="65">
        <v>45659</v>
      </c>
      <c r="AQ55" s="65" t="s">
        <v>622</v>
      </c>
      <c r="AR55" s="65"/>
      <c r="AS55" s="65"/>
      <c r="AT55" s="65"/>
      <c r="AU55" s="65"/>
      <c r="AV55" s="65">
        <v>45624</v>
      </c>
      <c r="AW55" s="65" t="s">
        <v>618</v>
      </c>
      <c r="AX55" s="65"/>
      <c r="AY55" s="65">
        <v>45573</v>
      </c>
      <c r="AZ55" s="65" t="s">
        <v>618</v>
      </c>
      <c r="BA55" s="65"/>
      <c r="BB55" s="65">
        <v>45549</v>
      </c>
      <c r="BC55" s="65" t="s">
        <v>618</v>
      </c>
      <c r="BD55" s="65"/>
      <c r="BE55" s="65"/>
      <c r="BF55" s="65"/>
      <c r="BG55" s="65"/>
      <c r="BH55" s="65">
        <v>45493</v>
      </c>
      <c r="BI55" s="65" t="s">
        <v>624</v>
      </c>
      <c r="BJ55" s="65" t="s">
        <v>622</v>
      </c>
      <c r="BK55" s="65"/>
      <c r="BL55" s="65"/>
      <c r="BM55" s="65"/>
      <c r="BN55" s="65"/>
      <c r="BO55" s="65"/>
      <c r="BP55" s="65"/>
      <c r="BQ55" s="65"/>
      <c r="BR55" s="65"/>
      <c r="BS55" s="65"/>
      <c r="BT55" s="65">
        <v>45373</v>
      </c>
      <c r="BU55" s="65" t="s">
        <v>629</v>
      </c>
      <c r="BV55" s="65"/>
      <c r="BW55" s="65">
        <v>45331</v>
      </c>
      <c r="BX55" s="65" t="s">
        <v>629</v>
      </c>
      <c r="BY55" s="65"/>
      <c r="BZ55" s="65"/>
      <c r="CA55" s="65"/>
      <c r="CB55" s="65"/>
    </row>
    <row r="56" spans="1:80" s="91" customFormat="1" ht="22" customHeight="1" x14ac:dyDescent="0.2">
      <c r="A56" s="53" t="s">
        <v>37</v>
      </c>
      <c r="B56" s="63">
        <f ca="1">TODAY()</f>
        <v>45935</v>
      </c>
      <c r="C56" s="69" t="s">
        <v>556</v>
      </c>
      <c r="D56" s="68" t="s">
        <v>404</v>
      </c>
      <c r="E56" s="79" t="s">
        <v>110</v>
      </c>
      <c r="F56" s="2" t="s">
        <v>112</v>
      </c>
      <c r="G56" s="65">
        <v>45779</v>
      </c>
      <c r="H56" s="65">
        <v>46143</v>
      </c>
      <c r="I56" s="66">
        <f ca="1">(Table26[[#This Row],[Ref Date]]-Table26[[#This Row],[Service Start Date ]])/35</f>
        <v>4.4571428571428573</v>
      </c>
      <c r="J56" s="66">
        <f>COUNTIF(Table26[[#This Row],[2025 October
Actual]:[2024 January 
Done by 2]],"&gt;=" &amp;Table26[[#This Row],[Service Start Date ]])</f>
        <v>3</v>
      </c>
      <c r="K56" s="66">
        <f ca="1">Table26[[#This Row],[Actual Services
to be done]]-Table26[[#This Row],[Completed Services]]</f>
        <v>1.4571428571428573</v>
      </c>
      <c r="L56" s="64" t="s">
        <v>119</v>
      </c>
      <c r="M56" s="67">
        <f ca="1">B56-R56</f>
        <v>22</v>
      </c>
      <c r="N56" s="65">
        <f ca="1">((B56+(-M56+35-10)))</f>
        <v>45938</v>
      </c>
      <c r="O56" s="65"/>
      <c r="P56" s="65"/>
      <c r="Q56" s="65"/>
      <c r="R56" s="65">
        <v>45913</v>
      </c>
      <c r="S56" s="65" t="s">
        <v>618</v>
      </c>
      <c r="T56" s="65"/>
      <c r="U56" s="65"/>
      <c r="V56" s="65"/>
      <c r="W56" s="65"/>
      <c r="X56" s="65">
        <v>45839</v>
      </c>
      <c r="Y56" s="65" t="s">
        <v>618</v>
      </c>
      <c r="Z56" s="65"/>
      <c r="AA56" s="65">
        <v>45821</v>
      </c>
      <c r="AB56" s="65" t="s">
        <v>618</v>
      </c>
      <c r="AC56" s="65"/>
      <c r="AD56" s="65"/>
      <c r="AE56" s="65"/>
      <c r="AF56" s="65"/>
      <c r="AG56" s="65">
        <v>45776</v>
      </c>
      <c r="AH56" s="65" t="s">
        <v>615</v>
      </c>
      <c r="AI56" s="65"/>
      <c r="AJ56" s="65">
        <v>45724</v>
      </c>
      <c r="AK56" s="65" t="s">
        <v>618</v>
      </c>
      <c r="AL56" s="65"/>
      <c r="AM56" s="65">
        <v>45699</v>
      </c>
      <c r="AN56" s="65" t="s">
        <v>615</v>
      </c>
      <c r="AO56" s="65"/>
      <c r="AP56" s="65">
        <v>45668</v>
      </c>
      <c r="AQ56" s="65" t="s">
        <v>615</v>
      </c>
      <c r="AR56" s="65"/>
      <c r="AS56" s="65"/>
      <c r="AT56" s="65"/>
      <c r="AU56" s="65"/>
      <c r="AV56" s="65">
        <v>45610</v>
      </c>
      <c r="AW56" s="65" t="s">
        <v>615</v>
      </c>
      <c r="AX56" s="65" t="s">
        <v>618</v>
      </c>
      <c r="AY56" s="65">
        <v>45570</v>
      </c>
      <c r="AZ56" s="65" t="s">
        <v>615</v>
      </c>
      <c r="BA56" s="65"/>
      <c r="BB56" s="65">
        <v>45541</v>
      </c>
      <c r="BC56" s="65" t="s">
        <v>618</v>
      </c>
      <c r="BD56" s="65"/>
      <c r="BE56" s="65"/>
      <c r="BF56" s="65"/>
      <c r="BG56" s="65"/>
      <c r="BH56" s="65">
        <v>45499</v>
      </c>
      <c r="BI56" s="65" t="s">
        <v>624</v>
      </c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</row>
    <row r="57" spans="1:80" s="64" customFormat="1" ht="22" customHeight="1" x14ac:dyDescent="0.2">
      <c r="A57" s="53" t="s">
        <v>37</v>
      </c>
      <c r="B57" s="63">
        <f ca="1">TODAY()</f>
        <v>45935</v>
      </c>
      <c r="C57" s="69" t="s">
        <v>507</v>
      </c>
      <c r="D57" s="68" t="s">
        <v>370</v>
      </c>
      <c r="E57" s="64" t="s">
        <v>21</v>
      </c>
      <c r="F57" s="2" t="s">
        <v>113</v>
      </c>
      <c r="G57" s="65">
        <v>45778</v>
      </c>
      <c r="H57" s="65">
        <v>46142</v>
      </c>
      <c r="I57" s="66">
        <f ca="1">(Table26[[#This Row],[Ref Date]]-Table26[[#This Row],[Service Start Date ]])/35</f>
        <v>4.4857142857142858</v>
      </c>
      <c r="J57" s="66">
        <f>COUNTIF(Table26[[#This Row],[2025 October
Actual]:[2024 January 
Done by 2]],"&gt;=" &amp;Table26[[#This Row],[Service Start Date ]])</f>
        <v>2</v>
      </c>
      <c r="K57" s="66">
        <f ca="1">Table26[[#This Row],[Actual Services
to be done]]-Table26[[#This Row],[Completed Services]]</f>
        <v>2.4857142857142858</v>
      </c>
      <c r="L57" s="64" t="s">
        <v>119</v>
      </c>
      <c r="M57" s="67">
        <f ca="1">B57-R57</f>
        <v>25</v>
      </c>
      <c r="N57" s="65">
        <f ca="1">((B57+(-M57+35-10)))</f>
        <v>45935</v>
      </c>
      <c r="O57" s="65"/>
      <c r="P57" s="65"/>
      <c r="Q57" s="65"/>
      <c r="R57" s="65">
        <v>45910</v>
      </c>
      <c r="S57" s="65" t="s">
        <v>618</v>
      </c>
      <c r="T57" s="65"/>
      <c r="U57" s="65"/>
      <c r="V57" s="65"/>
      <c r="W57" s="65"/>
      <c r="X57" s="65"/>
      <c r="Y57" s="65"/>
      <c r="Z57" s="65"/>
      <c r="AA57" s="65">
        <v>45823</v>
      </c>
      <c r="AB57" s="65" t="s">
        <v>615</v>
      </c>
      <c r="AC57" s="65" t="s">
        <v>620</v>
      </c>
      <c r="AD57" s="65"/>
      <c r="AE57" s="65"/>
      <c r="AF57" s="65"/>
      <c r="AG57" s="65"/>
      <c r="AH57" s="65"/>
      <c r="AI57" s="65"/>
      <c r="AJ57" s="65">
        <v>45745</v>
      </c>
      <c r="AK57" s="65" t="s">
        <v>618</v>
      </c>
      <c r="AL57" s="65" t="s">
        <v>622</v>
      </c>
      <c r="AM57" s="65">
        <v>45712</v>
      </c>
      <c r="AN57" s="65" t="s">
        <v>615</v>
      </c>
      <c r="AO57" s="65" t="s">
        <v>622</v>
      </c>
      <c r="AP57" s="65"/>
      <c r="AQ57" s="65"/>
      <c r="AR57" s="65"/>
      <c r="AS57" s="65"/>
      <c r="AT57" s="65"/>
      <c r="AU57" s="65"/>
      <c r="AV57" s="65">
        <v>45624</v>
      </c>
      <c r="AW57" s="65" t="s">
        <v>620</v>
      </c>
      <c r="AX57" s="65"/>
      <c r="AY57" s="65"/>
      <c r="AZ57" s="65"/>
      <c r="BA57" s="65"/>
      <c r="BB57" s="65"/>
      <c r="BC57" s="65"/>
      <c r="BD57" s="65"/>
      <c r="BE57" s="65">
        <v>45535</v>
      </c>
      <c r="BF57" s="65" t="s">
        <v>618</v>
      </c>
      <c r="BG57" s="65" t="s">
        <v>628</v>
      </c>
      <c r="BH57" s="65">
        <v>45488</v>
      </c>
      <c r="BI57" s="65" t="s">
        <v>624</v>
      </c>
      <c r="BJ57" s="65" t="s">
        <v>622</v>
      </c>
      <c r="BK57" s="65"/>
      <c r="BL57" s="65"/>
      <c r="BM57" s="65"/>
      <c r="BN57" s="65">
        <v>45429</v>
      </c>
      <c r="BO57" s="65" t="s">
        <v>628</v>
      </c>
      <c r="BP57" s="65"/>
      <c r="BQ57" s="65">
        <v>45395</v>
      </c>
      <c r="BR57" s="65" t="s">
        <v>629</v>
      </c>
      <c r="BS57" s="65" t="s">
        <v>628</v>
      </c>
      <c r="BT57" s="65"/>
      <c r="BU57" s="65"/>
      <c r="BV57" s="65"/>
      <c r="BW57" s="65">
        <v>45327</v>
      </c>
      <c r="BX57" s="65" t="s">
        <v>629</v>
      </c>
      <c r="BY57" s="65"/>
      <c r="BZ57" s="65"/>
      <c r="CA57" s="65"/>
      <c r="CB57" s="65"/>
    </row>
    <row r="58" spans="1:80" s="64" customFormat="1" ht="22" customHeight="1" x14ac:dyDescent="0.2">
      <c r="A58" s="53" t="s">
        <v>38</v>
      </c>
      <c r="B58" s="63">
        <f ca="1">TODAY()</f>
        <v>45935</v>
      </c>
      <c r="C58" s="69" t="s">
        <v>481</v>
      </c>
      <c r="D58" s="68" t="s">
        <v>307</v>
      </c>
      <c r="E58" s="77" t="s">
        <v>28</v>
      </c>
      <c r="F58" s="2" t="s">
        <v>112</v>
      </c>
      <c r="G58" s="65">
        <v>45566</v>
      </c>
      <c r="H58" s="65">
        <v>45930</v>
      </c>
      <c r="I58" s="66">
        <v>10</v>
      </c>
      <c r="J58" s="66">
        <f>COUNTIF(Table26[[#This Row],[2025 October
Actual]:[2024 January 
Done by 2]],"&gt;=" &amp;Table26[[#This Row],[Service Start Date ]])</f>
        <v>8</v>
      </c>
      <c r="K58" s="66">
        <f>Table26[[#This Row],[Actual Services
to be done]]-Table26[[#This Row],[Completed Services]]</f>
        <v>2</v>
      </c>
      <c r="L58" s="64" t="s">
        <v>119</v>
      </c>
      <c r="M58" s="67">
        <f ca="1">B58-R58</f>
        <v>24</v>
      </c>
      <c r="N58" s="65">
        <f ca="1">((B58+(-M58+35)))</f>
        <v>45946</v>
      </c>
      <c r="O58" s="65"/>
      <c r="P58" s="65"/>
      <c r="Q58" s="65"/>
      <c r="R58" s="65">
        <v>45911</v>
      </c>
      <c r="S58" s="65" t="s">
        <v>618</v>
      </c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>
        <v>45787</v>
      </c>
      <c r="AE58" s="65" t="s">
        <v>618</v>
      </c>
      <c r="AF58" s="65"/>
      <c r="AG58" s="65">
        <v>45755</v>
      </c>
      <c r="AH58" s="65" t="s">
        <v>622</v>
      </c>
      <c r="AI58" s="65"/>
      <c r="AJ58" s="65">
        <v>45730</v>
      </c>
      <c r="AK58" s="65" t="s">
        <v>622</v>
      </c>
      <c r="AL58" s="65"/>
      <c r="AM58" s="65">
        <v>45707</v>
      </c>
      <c r="AN58" s="65" t="s">
        <v>615</v>
      </c>
      <c r="AO58" s="65"/>
      <c r="AP58" s="65">
        <v>45688</v>
      </c>
      <c r="AQ58" s="65" t="s">
        <v>622</v>
      </c>
      <c r="AR58" s="65"/>
      <c r="AS58" s="65"/>
      <c r="AT58" s="65"/>
      <c r="AU58" s="65"/>
      <c r="AV58" s="65">
        <v>45615</v>
      </c>
      <c r="AW58" s="65" t="s">
        <v>622</v>
      </c>
      <c r="AX58" s="65"/>
      <c r="AY58" s="65">
        <v>45588</v>
      </c>
      <c r="AZ58" s="65" t="s">
        <v>618</v>
      </c>
      <c r="BA58" s="65"/>
      <c r="BB58" s="65">
        <v>45552</v>
      </c>
      <c r="BC58" s="65" t="s">
        <v>615</v>
      </c>
      <c r="BD58" s="65"/>
      <c r="BE58" s="65"/>
      <c r="BF58" s="65"/>
      <c r="BG58" s="65"/>
      <c r="BH58" s="65">
        <v>45490</v>
      </c>
      <c r="BI58" s="65" t="s">
        <v>624</v>
      </c>
      <c r="BJ58" s="65"/>
      <c r="BK58" s="65"/>
      <c r="BL58" s="65"/>
      <c r="BM58" s="65"/>
      <c r="BN58" s="65"/>
      <c r="BO58" s="65"/>
      <c r="BP58" s="65"/>
      <c r="BQ58" s="65">
        <v>45398</v>
      </c>
      <c r="BR58" s="65" t="s">
        <v>629</v>
      </c>
      <c r="BS58" s="65"/>
      <c r="BT58" s="65">
        <v>45355</v>
      </c>
      <c r="BU58" s="65" t="s">
        <v>629</v>
      </c>
      <c r="BV58" s="65"/>
      <c r="BW58" s="65"/>
      <c r="BX58" s="65"/>
      <c r="BY58" s="65"/>
      <c r="BZ58" s="65">
        <v>45309</v>
      </c>
      <c r="CA58" s="65" t="s">
        <v>629</v>
      </c>
      <c r="CB58" s="65"/>
    </row>
    <row r="59" spans="1:80" s="64" customFormat="1" ht="22" customHeight="1" x14ac:dyDescent="0.2">
      <c r="A59" s="53" t="s">
        <v>37</v>
      </c>
      <c r="B59" s="63">
        <f ca="1">TODAY()</f>
        <v>45935</v>
      </c>
      <c r="C59" s="69" t="s">
        <v>511</v>
      </c>
      <c r="D59" s="68" t="s">
        <v>248</v>
      </c>
      <c r="E59" s="64" t="s">
        <v>10</v>
      </c>
      <c r="F59" s="2" t="s">
        <v>111</v>
      </c>
      <c r="G59" s="65">
        <v>45703</v>
      </c>
      <c r="H59" s="65">
        <v>46067</v>
      </c>
      <c r="I59" s="66">
        <f ca="1">(Table26[[#This Row],[Ref Date]]-Table26[[#This Row],[Service Start Date ]])/35</f>
        <v>6.628571428571429</v>
      </c>
      <c r="J59" s="66">
        <f>COUNTIF(Table26[[#This Row],[2025 October
Actual]:[2024 January 
Done by 2]],"&gt;=" &amp;Table26[[#This Row],[Service Start Date ]])</f>
        <v>5</v>
      </c>
      <c r="K59" s="66">
        <f ca="1">Table26[[#This Row],[Actual Services
to be done]]-Table26[[#This Row],[Completed Services]]</f>
        <v>1.628571428571429</v>
      </c>
      <c r="L59" s="64" t="s">
        <v>119</v>
      </c>
      <c r="M59" s="67">
        <f ca="1">B59-R59</f>
        <v>24</v>
      </c>
      <c r="N59" s="65">
        <f ca="1">((B59+(-M59+35-10)))</f>
        <v>45936</v>
      </c>
      <c r="O59" s="100"/>
      <c r="P59" s="100"/>
      <c r="Q59" s="100"/>
      <c r="R59" s="100">
        <v>45911</v>
      </c>
      <c r="S59" s="100" t="s">
        <v>621</v>
      </c>
      <c r="T59" s="100"/>
      <c r="U59" s="65">
        <v>45902</v>
      </c>
      <c r="V59" s="65" t="s">
        <v>618</v>
      </c>
      <c r="W59" s="65" t="s">
        <v>617</v>
      </c>
      <c r="X59" s="65"/>
      <c r="Y59" s="65"/>
      <c r="Z59" s="65"/>
      <c r="AA59" s="65"/>
      <c r="AB59" s="65"/>
      <c r="AC59" s="65"/>
      <c r="AD59" s="65"/>
      <c r="AE59" s="65"/>
      <c r="AF59" s="65"/>
      <c r="AG59" s="65">
        <v>45777</v>
      </c>
      <c r="AH59" s="65" t="s">
        <v>622</v>
      </c>
      <c r="AI59" s="65"/>
      <c r="AJ59" s="65">
        <v>45743</v>
      </c>
      <c r="AK59" s="65" t="s">
        <v>622</v>
      </c>
      <c r="AL59" s="65"/>
      <c r="AM59" s="65">
        <v>45708</v>
      </c>
      <c r="AN59" s="65" t="s">
        <v>615</v>
      </c>
      <c r="AO59" s="65"/>
      <c r="AP59" s="65">
        <v>45659</v>
      </c>
      <c r="AQ59" s="65" t="s">
        <v>622</v>
      </c>
      <c r="AR59" s="65"/>
      <c r="AS59" s="65"/>
      <c r="AT59" s="65"/>
      <c r="AU59" s="65"/>
      <c r="AV59" s="65">
        <v>45614</v>
      </c>
      <c r="AW59" s="65" t="s">
        <v>622</v>
      </c>
      <c r="AX59" s="65"/>
      <c r="AY59" s="65">
        <v>45574</v>
      </c>
      <c r="AZ59" s="95" t="s">
        <v>622</v>
      </c>
      <c r="BA59" s="65"/>
      <c r="BB59" s="65">
        <v>45552</v>
      </c>
      <c r="BC59" s="65" t="s">
        <v>622</v>
      </c>
      <c r="BD59" s="65"/>
      <c r="BE59" s="65">
        <v>45531</v>
      </c>
      <c r="BF59" s="65" t="s">
        <v>618</v>
      </c>
      <c r="BG59" s="65"/>
      <c r="BH59" s="65">
        <v>45504</v>
      </c>
      <c r="BI59" s="65" t="s">
        <v>624</v>
      </c>
      <c r="BJ59" s="65"/>
      <c r="BK59" s="65"/>
      <c r="BL59" s="65"/>
      <c r="BM59" s="65"/>
      <c r="BN59" s="65"/>
      <c r="BO59" s="65"/>
      <c r="BP59" s="65"/>
      <c r="BQ59" s="65">
        <v>45388</v>
      </c>
      <c r="BR59" s="65" t="s">
        <v>629</v>
      </c>
      <c r="BS59" s="65"/>
      <c r="BT59" s="65"/>
      <c r="BU59" s="65"/>
      <c r="BV59" s="65"/>
      <c r="BW59" s="65">
        <v>45346</v>
      </c>
      <c r="BX59" s="65" t="s">
        <v>630</v>
      </c>
      <c r="BY59" s="65" t="s">
        <v>627</v>
      </c>
      <c r="BZ59" s="65">
        <v>45313</v>
      </c>
      <c r="CA59" s="65" t="s">
        <v>629</v>
      </c>
      <c r="CB59" s="65"/>
    </row>
    <row r="60" spans="1:80" s="64" customFormat="1" ht="22" customHeight="1" x14ac:dyDescent="0.2">
      <c r="A60" s="53" t="s">
        <v>37</v>
      </c>
      <c r="B60" s="63">
        <f ca="1">TODAY()</f>
        <v>45935</v>
      </c>
      <c r="C60" s="69" t="s">
        <v>444</v>
      </c>
      <c r="D60" s="68" t="s">
        <v>281</v>
      </c>
      <c r="E60" s="64" t="s">
        <v>12</v>
      </c>
      <c r="F60" s="2" t="s">
        <v>111</v>
      </c>
      <c r="G60" s="65">
        <v>45721</v>
      </c>
      <c r="H60" s="65">
        <v>46085</v>
      </c>
      <c r="I60" s="66">
        <f ca="1">(Table26[[#This Row],[Ref Date]]-Table26[[#This Row],[Service Start Date ]])/60</f>
        <v>3.5666666666666669</v>
      </c>
      <c r="J60" s="66">
        <f>COUNTIF(Table26[[#This Row],[2025 October
Actual]:[2024 January 
Done by 2]],"&gt;=" &amp;Table26[[#This Row],[Service Start Date ]])</f>
        <v>2</v>
      </c>
      <c r="K60" s="66">
        <f ca="1">Table26[[#This Row],[Actual Services
to be done]]-Table26[[#This Row],[Completed Services]]</f>
        <v>1.5666666666666669</v>
      </c>
      <c r="L60" s="64" t="s">
        <v>118</v>
      </c>
      <c r="M60" s="67">
        <f ca="1">B60-X60</f>
        <v>94</v>
      </c>
      <c r="N60" s="65">
        <f ca="1">((B60+(-M60+60-10)))</f>
        <v>45891</v>
      </c>
      <c r="O60" s="65"/>
      <c r="P60" s="65"/>
      <c r="Q60" s="65"/>
      <c r="R60" s="65"/>
      <c r="S60" s="65"/>
      <c r="T60" s="65"/>
      <c r="U60" s="65"/>
      <c r="V60" s="65"/>
      <c r="W60" s="65"/>
      <c r="X60" s="65">
        <v>45841</v>
      </c>
      <c r="Y60" s="65" t="s">
        <v>618</v>
      </c>
      <c r="Z60" s="65"/>
      <c r="AA60" s="65"/>
      <c r="AB60" s="65"/>
      <c r="AC60" s="65"/>
      <c r="AD60" s="65"/>
      <c r="AE60" s="65"/>
      <c r="AF60" s="65"/>
      <c r="AG60" s="65">
        <v>45776</v>
      </c>
      <c r="AH60" s="65" t="s">
        <v>622</v>
      </c>
      <c r="AI60" s="65"/>
      <c r="AJ60" s="65"/>
      <c r="AK60" s="65"/>
      <c r="AL60" s="65"/>
      <c r="AM60" s="65">
        <v>45706</v>
      </c>
      <c r="AN60" s="65" t="s">
        <v>615</v>
      </c>
      <c r="AO60" s="65"/>
      <c r="AP60" s="65">
        <v>45660</v>
      </c>
      <c r="AQ60" s="65" t="s">
        <v>622</v>
      </c>
      <c r="AR60" s="65"/>
      <c r="AS60" s="65"/>
      <c r="AT60" s="65"/>
      <c r="AU60" s="65"/>
      <c r="AV60" s="65">
        <v>45600</v>
      </c>
      <c r="AW60" s="65" t="s">
        <v>615</v>
      </c>
      <c r="AX60" s="65"/>
      <c r="AY60" s="65"/>
      <c r="AZ60" s="65"/>
      <c r="BA60" s="65"/>
      <c r="BB60" s="65">
        <v>45559</v>
      </c>
      <c r="BC60" s="65" t="s">
        <v>622</v>
      </c>
      <c r="BD60" s="65"/>
      <c r="BE60" s="65"/>
      <c r="BF60" s="65"/>
      <c r="BG60" s="65"/>
      <c r="BH60" s="65">
        <v>45493</v>
      </c>
      <c r="BI60" s="65" t="s">
        <v>624</v>
      </c>
      <c r="BJ60" s="65" t="s">
        <v>622</v>
      </c>
      <c r="BK60" s="65"/>
      <c r="BL60" s="65"/>
      <c r="BM60" s="65"/>
      <c r="BN60" s="65"/>
      <c r="BO60" s="65"/>
      <c r="BP60" s="65"/>
      <c r="BQ60" s="65"/>
      <c r="BR60" s="65"/>
      <c r="BS60" s="65"/>
      <c r="BT60" s="65">
        <v>45359</v>
      </c>
      <c r="BU60" s="65" t="s">
        <v>630</v>
      </c>
      <c r="BV60" s="65"/>
      <c r="BW60" s="65"/>
      <c r="BX60" s="65"/>
      <c r="BY60" s="65"/>
      <c r="BZ60" s="65">
        <v>45293</v>
      </c>
      <c r="CA60" s="65" t="s">
        <v>629</v>
      </c>
      <c r="CB60" s="65"/>
    </row>
    <row r="61" spans="1:80" s="64" customFormat="1" ht="22" customHeight="1" x14ac:dyDescent="0.2">
      <c r="A61" s="53" t="s">
        <v>37</v>
      </c>
      <c r="B61" s="63">
        <f ca="1">TODAY()</f>
        <v>45935</v>
      </c>
      <c r="C61" s="69" t="s">
        <v>585</v>
      </c>
      <c r="D61" s="68" t="s">
        <v>321</v>
      </c>
      <c r="E61" s="64" t="s">
        <v>53</v>
      </c>
      <c r="F61" s="2" t="s">
        <v>113</v>
      </c>
      <c r="G61" s="65">
        <v>45870</v>
      </c>
      <c r="H61" s="65">
        <v>46235</v>
      </c>
      <c r="I61" s="66">
        <f ca="1">(Table26[[#This Row],[Ref Date]]-Table26[[#This Row],[Service Start Date ]])/35</f>
        <v>1.8571428571428572</v>
      </c>
      <c r="J61" s="66">
        <f>COUNTIF(Table26[[#This Row],[2025 October
Actual]:[2024 January 
Done by 2]],"&gt;=" &amp;Table26[[#This Row],[Service Start Date ]])</f>
        <v>1</v>
      </c>
      <c r="K61" s="66">
        <f ca="1">Table26[[#This Row],[Actual Services
to be done]]-Table26[[#This Row],[Completed Services]]</f>
        <v>0.85714285714285721</v>
      </c>
      <c r="L61" s="64" t="s">
        <v>119</v>
      </c>
      <c r="M61" s="67">
        <f ca="1">B61-R61</f>
        <v>23</v>
      </c>
      <c r="N61" s="65">
        <f ca="1">((B61+(-M61+35-10)))</f>
        <v>45937</v>
      </c>
      <c r="O61" s="65"/>
      <c r="P61" s="65"/>
      <c r="Q61" s="65"/>
      <c r="R61" s="65">
        <v>45912</v>
      </c>
      <c r="S61" s="65" t="s">
        <v>621</v>
      </c>
      <c r="T61" s="65"/>
      <c r="U61" s="65"/>
      <c r="V61" s="65"/>
      <c r="W61" s="65"/>
      <c r="X61" s="65">
        <v>45852</v>
      </c>
      <c r="Y61" s="65" t="s">
        <v>620</v>
      </c>
      <c r="Z61" s="65"/>
      <c r="AA61" s="65">
        <v>45821</v>
      </c>
      <c r="AB61" s="65" t="s">
        <v>615</v>
      </c>
      <c r="AC61" s="65"/>
      <c r="AD61" s="65"/>
      <c r="AE61" s="65"/>
      <c r="AF61" s="65"/>
      <c r="AG61" s="65">
        <v>45752</v>
      </c>
      <c r="AH61" s="65" t="s">
        <v>622</v>
      </c>
      <c r="AI61" s="65"/>
      <c r="AJ61" s="65">
        <v>45721</v>
      </c>
      <c r="AK61" s="65" t="s">
        <v>622</v>
      </c>
      <c r="AL61" s="65"/>
      <c r="AM61" s="65">
        <v>45691</v>
      </c>
      <c r="AN61" s="65" t="s">
        <v>622</v>
      </c>
      <c r="AO61" s="65"/>
      <c r="AP61" s="65">
        <v>45664</v>
      </c>
      <c r="AQ61" s="65" t="s">
        <v>622</v>
      </c>
      <c r="AR61" s="65"/>
      <c r="AS61" s="65"/>
      <c r="AT61" s="65"/>
      <c r="AU61" s="65"/>
      <c r="AV61" s="65">
        <v>45618</v>
      </c>
      <c r="AW61" s="65" t="s">
        <v>622</v>
      </c>
      <c r="AX61" s="65"/>
      <c r="AY61" s="65">
        <v>45575</v>
      </c>
      <c r="AZ61" s="95" t="s">
        <v>622</v>
      </c>
      <c r="BA61" s="65"/>
      <c r="BB61" s="65">
        <v>45537</v>
      </c>
      <c r="BC61" s="65" t="s">
        <v>615</v>
      </c>
      <c r="BD61" s="65"/>
      <c r="BE61" s="65"/>
      <c r="BF61" s="65"/>
      <c r="BG61" s="65"/>
      <c r="BH61" s="65">
        <v>45484</v>
      </c>
      <c r="BI61" s="65" t="s">
        <v>624</v>
      </c>
      <c r="BJ61" s="65" t="s">
        <v>615</v>
      </c>
      <c r="BK61" s="65"/>
      <c r="BL61" s="65"/>
      <c r="BM61" s="65"/>
      <c r="BN61" s="65"/>
      <c r="BO61" s="65"/>
      <c r="BP61" s="65"/>
      <c r="BQ61" s="65"/>
      <c r="BR61" s="65"/>
      <c r="BS61" s="65"/>
      <c r="BT61" s="65">
        <v>45358</v>
      </c>
      <c r="BU61" s="65" t="s">
        <v>630</v>
      </c>
      <c r="BV61" s="65"/>
      <c r="BW61" s="65"/>
      <c r="BX61" s="65"/>
      <c r="BY61" s="65"/>
      <c r="BZ61" s="65"/>
      <c r="CA61" s="65"/>
      <c r="CB61" s="65"/>
    </row>
    <row r="62" spans="1:80" s="64" customFormat="1" ht="22" customHeight="1" x14ac:dyDescent="0.2">
      <c r="A62" s="53" t="s">
        <v>37</v>
      </c>
      <c r="B62" s="63">
        <f ca="1">TODAY()</f>
        <v>45935</v>
      </c>
      <c r="C62" s="69" t="s">
        <v>583</v>
      </c>
      <c r="D62" s="68" t="s">
        <v>312</v>
      </c>
      <c r="E62" s="64" t="s">
        <v>21</v>
      </c>
      <c r="F62" s="2" t="s">
        <v>113</v>
      </c>
      <c r="G62" s="65">
        <v>45778</v>
      </c>
      <c r="H62" s="65">
        <v>46142</v>
      </c>
      <c r="I62" s="66">
        <f ca="1">(Table26[[#This Row],[Ref Date]]-Table26[[#This Row],[Service Start Date ]])/35</f>
        <v>4.4857142857142858</v>
      </c>
      <c r="J62" s="66">
        <f>COUNTIF(Table26[[#This Row],[2025 October
Actual]:[2024 January 
Done by 2]],"&gt;=" &amp;Table26[[#This Row],[Service Start Date ]])</f>
        <v>2</v>
      </c>
      <c r="K62" s="66">
        <f ca="1">Table26[[#This Row],[Actual Services
to be done]]-Table26[[#This Row],[Completed Services]]</f>
        <v>2.4857142857142858</v>
      </c>
      <c r="L62" s="64" t="s">
        <v>119</v>
      </c>
      <c r="M62" s="67">
        <f ca="1">B62-R62</f>
        <v>13</v>
      </c>
      <c r="N62" s="65">
        <f ca="1">((B62+(-M62+35-10)))</f>
        <v>45947</v>
      </c>
      <c r="O62" s="65"/>
      <c r="P62" s="65"/>
      <c r="Q62" s="65"/>
      <c r="R62" s="65">
        <v>45922</v>
      </c>
      <c r="S62" s="65" t="s">
        <v>620</v>
      </c>
      <c r="T62" s="65"/>
      <c r="U62" s="65"/>
      <c r="V62" s="65"/>
      <c r="W62" s="65"/>
      <c r="X62" s="65"/>
      <c r="Y62" s="65"/>
      <c r="Z62" s="65"/>
      <c r="AA62" s="65">
        <v>45822</v>
      </c>
      <c r="AB62" s="65" t="s">
        <v>618</v>
      </c>
      <c r="AC62" s="65"/>
      <c r="AD62" s="65"/>
      <c r="AE62" s="65"/>
      <c r="AF62" s="65"/>
      <c r="AG62" s="65">
        <v>45755</v>
      </c>
      <c r="AH62" s="65" t="s">
        <v>622</v>
      </c>
      <c r="AI62" s="65"/>
      <c r="AJ62" s="65">
        <v>45726</v>
      </c>
      <c r="AK62" s="65" t="s">
        <v>622</v>
      </c>
      <c r="AL62" s="65"/>
      <c r="AM62" s="65">
        <v>45695</v>
      </c>
      <c r="AN62" s="65" t="s">
        <v>622</v>
      </c>
      <c r="AO62" s="65"/>
      <c r="AP62" s="65">
        <v>45666</v>
      </c>
      <c r="AQ62" s="65" t="s">
        <v>622</v>
      </c>
      <c r="AR62" s="65"/>
      <c r="AS62" s="65"/>
      <c r="AT62" s="65"/>
      <c r="AU62" s="65"/>
      <c r="AV62" s="65">
        <v>45624</v>
      </c>
      <c r="AW62" s="65" t="s">
        <v>622</v>
      </c>
      <c r="AX62" s="65"/>
      <c r="AY62" s="65">
        <v>45588</v>
      </c>
      <c r="AZ62" s="65" t="s">
        <v>618</v>
      </c>
      <c r="BA62" s="65"/>
      <c r="BB62" s="65">
        <v>45565</v>
      </c>
      <c r="BC62" s="65" t="s">
        <v>618</v>
      </c>
      <c r="BD62" s="65"/>
      <c r="BE62" s="65">
        <v>45535</v>
      </c>
      <c r="BF62" s="65" t="s">
        <v>618</v>
      </c>
      <c r="BG62" s="65"/>
      <c r="BH62" s="65">
        <v>45485</v>
      </c>
      <c r="BI62" s="65" t="s">
        <v>624</v>
      </c>
      <c r="BJ62" s="65"/>
      <c r="BK62" s="65"/>
      <c r="BL62" s="65"/>
      <c r="BM62" s="65"/>
      <c r="BN62" s="65"/>
      <c r="BO62" s="65"/>
      <c r="BP62" s="65"/>
      <c r="BQ62" s="65">
        <v>45400</v>
      </c>
      <c r="BR62" s="65" t="s">
        <v>629</v>
      </c>
      <c r="BS62" s="65"/>
      <c r="BT62" s="65">
        <v>45355</v>
      </c>
      <c r="BU62" s="65" t="s">
        <v>629</v>
      </c>
      <c r="BV62" s="65"/>
      <c r="BW62" s="65"/>
      <c r="BX62" s="65"/>
      <c r="BY62" s="65"/>
      <c r="BZ62" s="65">
        <v>45300</v>
      </c>
      <c r="CA62" s="65" t="s">
        <v>629</v>
      </c>
      <c r="CB62" s="65"/>
    </row>
    <row r="63" spans="1:80" s="64" customFormat="1" ht="22" customHeight="1" x14ac:dyDescent="0.2">
      <c r="A63" s="53" t="s">
        <v>37</v>
      </c>
      <c r="B63" s="63">
        <f ca="1">TODAY()</f>
        <v>45935</v>
      </c>
      <c r="C63" s="69" t="s">
        <v>422</v>
      </c>
      <c r="D63" s="68" t="s">
        <v>326</v>
      </c>
      <c r="E63" s="64" t="s">
        <v>2</v>
      </c>
      <c r="F63" s="2" t="s">
        <v>112</v>
      </c>
      <c r="G63" s="65">
        <v>45749</v>
      </c>
      <c r="H63" s="65">
        <v>46114</v>
      </c>
      <c r="I63" s="66">
        <f ca="1">(Table26[[#This Row],[Ref Date]]-Table26[[#This Row],[Service Start Date ]])/60</f>
        <v>3.1</v>
      </c>
      <c r="J63" s="66">
        <f>COUNTIF(Table26[[#This Row],[2025 October
Actual]:[2024 January 
Done by 2]],"&gt;=" &amp;Table26[[#This Row],[Service Start Date ]])</f>
        <v>2</v>
      </c>
      <c r="K63" s="66">
        <f ca="1">Table26[[#This Row],[Actual Services
to be done]]-Table26[[#This Row],[Completed Services]]</f>
        <v>1.1000000000000001</v>
      </c>
      <c r="L63" s="64" t="s">
        <v>118</v>
      </c>
      <c r="M63" s="67">
        <f ca="1">B63-X63</f>
        <v>69</v>
      </c>
      <c r="N63" s="65">
        <f ca="1">((B63+(-M63+60-10)))</f>
        <v>45916</v>
      </c>
      <c r="O63" s="65"/>
      <c r="P63" s="65"/>
      <c r="Q63" s="65"/>
      <c r="R63" s="65"/>
      <c r="S63" s="65"/>
      <c r="T63" s="65"/>
      <c r="U63" s="65"/>
      <c r="V63" s="65"/>
      <c r="W63" s="65"/>
      <c r="X63" s="65">
        <v>45866</v>
      </c>
      <c r="Y63" s="65" t="s">
        <v>618</v>
      </c>
      <c r="Z63" s="65"/>
      <c r="AA63" s="65"/>
      <c r="AB63" s="65"/>
      <c r="AC63" s="65"/>
      <c r="AD63" s="65">
        <v>45782</v>
      </c>
      <c r="AE63" s="65" t="s">
        <v>622</v>
      </c>
      <c r="AF63" s="65"/>
      <c r="AG63" s="65"/>
      <c r="AH63" s="65"/>
      <c r="AI63" s="65"/>
      <c r="AJ63" s="65">
        <v>45722</v>
      </c>
      <c r="AK63" s="65" t="s">
        <v>622</v>
      </c>
      <c r="AL63" s="65"/>
      <c r="AM63" s="65">
        <v>45696</v>
      </c>
      <c r="AN63" s="65" t="s">
        <v>622</v>
      </c>
      <c r="AO63" s="65"/>
      <c r="AP63" s="65">
        <v>45661</v>
      </c>
      <c r="AQ63" s="65" t="s">
        <v>622</v>
      </c>
      <c r="AR63" s="65"/>
      <c r="AS63" s="65"/>
      <c r="AT63" s="65"/>
      <c r="AU63" s="65"/>
      <c r="AV63" s="65"/>
      <c r="AW63" s="65"/>
      <c r="AX63" s="65"/>
      <c r="AY63" s="65">
        <v>45584</v>
      </c>
      <c r="AZ63" s="95" t="s">
        <v>622</v>
      </c>
      <c r="BA63" s="65"/>
      <c r="BB63" s="65">
        <v>45555</v>
      </c>
      <c r="BC63" s="65" t="s">
        <v>615</v>
      </c>
      <c r="BD63" s="65"/>
      <c r="BE63" s="65"/>
      <c r="BF63" s="65"/>
      <c r="BG63" s="65"/>
      <c r="BH63" s="65">
        <v>45504</v>
      </c>
      <c r="BI63" s="65" t="s">
        <v>624</v>
      </c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>
        <v>45376</v>
      </c>
      <c r="BU63" s="65" t="s">
        <v>629</v>
      </c>
      <c r="BV63" s="65"/>
      <c r="BW63" s="65"/>
      <c r="BX63" s="65"/>
      <c r="BY63" s="65"/>
      <c r="BZ63" s="65"/>
      <c r="CA63" s="65"/>
      <c r="CB63" s="65"/>
    </row>
    <row r="64" spans="1:80" s="64" customFormat="1" ht="22" customHeight="1" x14ac:dyDescent="0.2">
      <c r="A64" s="53" t="s">
        <v>37</v>
      </c>
      <c r="B64" s="63">
        <f ca="1">TODAY()</f>
        <v>45935</v>
      </c>
      <c r="C64" s="69" t="s">
        <v>435</v>
      </c>
      <c r="D64" s="68" t="s">
        <v>409</v>
      </c>
      <c r="E64" s="126" t="s">
        <v>45</v>
      </c>
      <c r="F64" s="2" t="s">
        <v>112</v>
      </c>
      <c r="G64" s="65">
        <v>45809</v>
      </c>
      <c r="H64" s="65">
        <v>46173</v>
      </c>
      <c r="I64" s="66">
        <f ca="1">(Table26[[#This Row],[Ref Date]]-Table26[[#This Row],[Service Start Date ]])/60</f>
        <v>2.1</v>
      </c>
      <c r="J64" s="66">
        <f>COUNTIF(Table26[[#This Row],[2025 October
Actual]:[2024 January 
Done by 2]],"&gt;=" &amp;Table26[[#This Row],[Service Start Date ]])</f>
        <v>2</v>
      </c>
      <c r="K64" s="66">
        <f ca="1">Table26[[#This Row],[Actual Services
to be done]]-Table26[[#This Row],[Completed Services]]</f>
        <v>0.10000000000000009</v>
      </c>
      <c r="L64" s="64" t="s">
        <v>118</v>
      </c>
      <c r="M64" s="67">
        <f ca="1">B64-R64</f>
        <v>12</v>
      </c>
      <c r="N64" s="65">
        <f ca="1">((B64+(-M64+60)))</f>
        <v>45983</v>
      </c>
      <c r="O64" s="65"/>
      <c r="P64" s="65"/>
      <c r="Q64" s="65"/>
      <c r="R64" s="65">
        <v>45923</v>
      </c>
      <c r="S64" s="65" t="s">
        <v>620</v>
      </c>
      <c r="T64" s="65"/>
      <c r="U64" s="65"/>
      <c r="V64" s="65"/>
      <c r="W64" s="65"/>
      <c r="X64" s="65"/>
      <c r="Y64" s="65"/>
      <c r="Z64" s="65"/>
      <c r="AA64" s="65">
        <v>45821</v>
      </c>
      <c r="AB64" s="65" t="s">
        <v>615</v>
      </c>
      <c r="AC64" s="65"/>
      <c r="AD64" s="65"/>
      <c r="AE64" s="65"/>
      <c r="AF64" s="65"/>
      <c r="AG64" s="65"/>
      <c r="AH64" s="65"/>
      <c r="AI64" s="65"/>
      <c r="AJ64" s="65">
        <v>45727</v>
      </c>
      <c r="AK64" s="65" t="s">
        <v>622</v>
      </c>
      <c r="AL64" s="65"/>
      <c r="AM64" s="65">
        <v>45707</v>
      </c>
      <c r="AN64" s="65" t="s">
        <v>622</v>
      </c>
      <c r="AO64" s="65"/>
      <c r="AP64" s="65">
        <v>45664</v>
      </c>
      <c r="AQ64" s="65" t="s">
        <v>622</v>
      </c>
      <c r="AR64" s="65"/>
      <c r="AS64" s="65"/>
      <c r="AT64" s="65"/>
      <c r="AU64" s="65"/>
      <c r="AV64" s="65">
        <v>45617</v>
      </c>
      <c r="AW64" s="65" t="s">
        <v>622</v>
      </c>
      <c r="AX64" s="65"/>
      <c r="AY64" s="65"/>
      <c r="AZ64" s="65"/>
      <c r="BA64" s="65"/>
      <c r="BB64" s="65">
        <v>45541</v>
      </c>
      <c r="BC64" s="65" t="s">
        <v>615</v>
      </c>
      <c r="BD64" s="65"/>
      <c r="BE64" s="65"/>
      <c r="BF64" s="65"/>
      <c r="BG64" s="65"/>
      <c r="BH64" s="65">
        <v>45484</v>
      </c>
      <c r="BI64" s="65" t="s">
        <v>624</v>
      </c>
      <c r="BJ64" s="65" t="s">
        <v>615</v>
      </c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>
        <v>45324</v>
      </c>
      <c r="BX64" s="65" t="s">
        <v>629</v>
      </c>
      <c r="BY64" s="65"/>
      <c r="BZ64" s="65"/>
      <c r="CA64" s="65"/>
      <c r="CB64" s="65"/>
    </row>
    <row r="65" spans="1:80" s="64" customFormat="1" ht="22" customHeight="1" x14ac:dyDescent="0.2">
      <c r="A65" s="53" t="s">
        <v>37</v>
      </c>
      <c r="B65" s="63">
        <f ca="1">TODAY()</f>
        <v>45935</v>
      </c>
      <c r="C65" s="69" t="s">
        <v>573</v>
      </c>
      <c r="D65" s="68" t="s">
        <v>407</v>
      </c>
      <c r="E65" s="64" t="s">
        <v>11</v>
      </c>
      <c r="F65" s="2" t="s">
        <v>112</v>
      </c>
      <c r="G65" s="65">
        <v>45627</v>
      </c>
      <c r="H65" s="65">
        <v>45991</v>
      </c>
      <c r="I65" s="66">
        <f ca="1">(Table26[[#This Row],[Ref Date]]-Table26[[#This Row],[Service Start Date ]])/60</f>
        <v>5.1333333333333337</v>
      </c>
      <c r="J65" s="66">
        <f>COUNTIF(Table26[[#This Row],[2025 October
Actual]:[2024 January 
Done by 2]],"&gt;=" &amp;Table26[[#This Row],[Service Start Date ]])</f>
        <v>4</v>
      </c>
      <c r="K65" s="66">
        <f ca="1">Table26[[#This Row],[Actual Services
to be done]]-Table26[[#This Row],[Completed Services]]</f>
        <v>1.1333333333333337</v>
      </c>
      <c r="L65" s="64" t="s">
        <v>118</v>
      </c>
      <c r="M65" s="67">
        <f ca="1">B65-R65</f>
        <v>16</v>
      </c>
      <c r="N65" s="65">
        <f ca="1">((B65+(-M65+60-10)))</f>
        <v>45969</v>
      </c>
      <c r="O65" s="65"/>
      <c r="P65" s="65"/>
      <c r="Q65" s="65"/>
      <c r="R65" s="65">
        <v>45919</v>
      </c>
      <c r="S65" s="65" t="s">
        <v>615</v>
      </c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>
        <v>45777</v>
      </c>
      <c r="AH65" s="65" t="s">
        <v>615</v>
      </c>
      <c r="AI65" s="65"/>
      <c r="AJ65" s="65"/>
      <c r="AK65" s="65"/>
      <c r="AL65" s="65"/>
      <c r="AM65" s="65">
        <v>45709</v>
      </c>
      <c r="AN65" s="65" t="s">
        <v>622</v>
      </c>
      <c r="AO65" s="65"/>
      <c r="AP65" s="65">
        <v>45661</v>
      </c>
      <c r="AQ65" s="65" t="s">
        <v>622</v>
      </c>
      <c r="AR65" s="65"/>
      <c r="AS65" s="65"/>
      <c r="AT65" s="65"/>
      <c r="AU65" s="65"/>
      <c r="AV65" s="65">
        <v>45614</v>
      </c>
      <c r="AW65" s="65" t="s">
        <v>615</v>
      </c>
      <c r="AX65" s="65"/>
      <c r="AY65" s="65"/>
      <c r="AZ65" s="65"/>
      <c r="BA65" s="65"/>
      <c r="BB65" s="65">
        <v>45559</v>
      </c>
      <c r="BC65" s="65" t="s">
        <v>622</v>
      </c>
      <c r="BD65" s="65"/>
      <c r="BE65" s="65"/>
      <c r="BF65" s="65"/>
      <c r="BG65" s="65"/>
      <c r="BH65" s="65">
        <v>45502</v>
      </c>
      <c r="BI65" s="65" t="s">
        <v>624</v>
      </c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>
        <v>45372</v>
      </c>
      <c r="BU65" s="65" t="s">
        <v>629</v>
      </c>
      <c r="BV65" s="65"/>
      <c r="BW65" s="65"/>
      <c r="BX65" s="65"/>
      <c r="BY65" s="65"/>
      <c r="BZ65" s="65">
        <v>45311</v>
      </c>
      <c r="CA65" s="65" t="s">
        <v>629</v>
      </c>
      <c r="CB65" s="65"/>
    </row>
    <row r="66" spans="1:80" s="64" customFormat="1" ht="22" customHeight="1" x14ac:dyDescent="0.2">
      <c r="A66" s="53" t="s">
        <v>37</v>
      </c>
      <c r="B66" s="63">
        <f ca="1">TODAY()</f>
        <v>45935</v>
      </c>
      <c r="C66" s="69" t="s">
        <v>425</v>
      </c>
      <c r="D66" s="68" t="s">
        <v>364</v>
      </c>
      <c r="E66" s="64" t="s">
        <v>23</v>
      </c>
      <c r="F66" s="2" t="s">
        <v>111</v>
      </c>
      <c r="G66" s="65">
        <v>45870</v>
      </c>
      <c r="H66" s="65">
        <v>46234</v>
      </c>
      <c r="I66" s="66">
        <f ca="1">(Table26[[#This Row],[Ref Date]]-Table26[[#This Row],[Service Start Date ]])/60</f>
        <v>1.0833333333333333</v>
      </c>
      <c r="J66" s="66">
        <f>COUNTIF(Table26[[#This Row],[2025 October
Actual]:[2024 January 
Done by 2]],"&gt;=" &amp;Table26[[#This Row],[Service Start Date ]])</f>
        <v>0</v>
      </c>
      <c r="K66" s="66">
        <f ca="1">Table26[[#This Row],[Actual Services
to be done]]-Table26[[#This Row],[Completed Services]]</f>
        <v>1.0833333333333333</v>
      </c>
      <c r="L66" s="64" t="s">
        <v>118</v>
      </c>
      <c r="M66" s="67">
        <f ca="1">B66-AG66</f>
        <v>158</v>
      </c>
      <c r="N66" s="65">
        <f ca="1">((B66+(-M66+60-10)))</f>
        <v>45827</v>
      </c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>
        <v>45777</v>
      </c>
      <c r="AH66" s="65" t="s">
        <v>615</v>
      </c>
      <c r="AI66" s="65"/>
      <c r="AJ66" s="65">
        <v>45724</v>
      </c>
      <c r="AK66" s="65" t="s">
        <v>615</v>
      </c>
      <c r="AL66" s="65"/>
      <c r="AM66" s="65"/>
      <c r="AN66" s="65"/>
      <c r="AO66" s="65"/>
      <c r="AP66" s="65">
        <v>45674</v>
      </c>
      <c r="AQ66" s="65" t="s">
        <v>615</v>
      </c>
      <c r="AR66" s="65"/>
      <c r="AS66" s="65"/>
      <c r="AT66" s="65"/>
      <c r="AU66" s="65"/>
      <c r="AV66" s="65">
        <v>45615</v>
      </c>
      <c r="AW66" s="65" t="s">
        <v>615</v>
      </c>
      <c r="AX66" s="65"/>
      <c r="AY66" s="65"/>
      <c r="AZ66" s="65"/>
      <c r="BA66" s="65"/>
      <c r="BB66" s="65">
        <v>45552</v>
      </c>
      <c r="BC66" s="65" t="s">
        <v>618</v>
      </c>
      <c r="BD66" s="65"/>
      <c r="BE66" s="65"/>
      <c r="BF66" s="65"/>
      <c r="BG66" s="65"/>
      <c r="BH66" s="65">
        <v>45498</v>
      </c>
      <c r="BI66" s="65" t="s">
        <v>624</v>
      </c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>
        <v>45351</v>
      </c>
      <c r="BX66" s="65" t="s">
        <v>621</v>
      </c>
      <c r="BY66" s="65"/>
      <c r="BZ66" s="65"/>
      <c r="CA66" s="65"/>
      <c r="CB66" s="65"/>
    </row>
    <row r="67" spans="1:80" s="64" customFormat="1" ht="22" customHeight="1" x14ac:dyDescent="0.2">
      <c r="A67" s="53" t="s">
        <v>37</v>
      </c>
      <c r="B67" s="63">
        <f ca="1">TODAY()</f>
        <v>45935</v>
      </c>
      <c r="C67" s="69" t="s">
        <v>488</v>
      </c>
      <c r="D67" s="68" t="s">
        <v>336</v>
      </c>
      <c r="E67" s="64" t="s">
        <v>27</v>
      </c>
      <c r="F67" s="2" t="s">
        <v>112</v>
      </c>
      <c r="G67" s="65">
        <v>45901</v>
      </c>
      <c r="H67" s="65">
        <v>46266</v>
      </c>
      <c r="I67" s="66">
        <f ca="1">(Table26[[#This Row],[Ref Date]]-Table26[[#This Row],[Service Start Date ]])/60</f>
        <v>0.56666666666666665</v>
      </c>
      <c r="J67" s="66">
        <f>COUNTIF(Table26[[#This Row],[2025 October
Actual]:[2024 January 
Done by 2]],"&gt;=" &amp;Table26[[#This Row],[Service Start Date ]])</f>
        <v>1</v>
      </c>
      <c r="K67" s="66">
        <f ca="1">Table26[[#This Row],[Actual Services
to be done]]-Table26[[#This Row],[Completed Services]]</f>
        <v>-0.43333333333333335</v>
      </c>
      <c r="L67" s="64" t="s">
        <v>118</v>
      </c>
      <c r="M67" s="67">
        <f ca="1">B67-R67</f>
        <v>18</v>
      </c>
      <c r="N67" s="65">
        <f ca="1">((B67+(-M67+60)))</f>
        <v>45977</v>
      </c>
      <c r="O67" s="65"/>
      <c r="P67" s="65"/>
      <c r="Q67" s="65"/>
      <c r="R67" s="65">
        <v>45917</v>
      </c>
      <c r="S67" s="65" t="s">
        <v>615</v>
      </c>
      <c r="T67" s="65"/>
      <c r="U67" s="65">
        <v>45873</v>
      </c>
      <c r="V67" s="65" t="s">
        <v>618</v>
      </c>
      <c r="W67" s="65"/>
      <c r="X67" s="65"/>
      <c r="Y67" s="65"/>
      <c r="Z67" s="65"/>
      <c r="AA67" s="65"/>
      <c r="AB67" s="65"/>
      <c r="AC67" s="65"/>
      <c r="AD67" s="65">
        <v>45787</v>
      </c>
      <c r="AE67" s="65" t="s">
        <v>621</v>
      </c>
      <c r="AF67" s="65"/>
      <c r="AG67" s="65"/>
      <c r="AH67" s="65"/>
      <c r="AI67" s="65"/>
      <c r="AJ67" s="65">
        <v>45721</v>
      </c>
      <c r="AK67" s="65" t="s">
        <v>622</v>
      </c>
      <c r="AL67" s="65"/>
      <c r="AM67" s="65"/>
      <c r="AN67" s="65"/>
      <c r="AO67" s="65"/>
      <c r="AP67" s="65">
        <v>45684</v>
      </c>
      <c r="AQ67" s="65" t="s">
        <v>622</v>
      </c>
      <c r="AR67" s="65"/>
      <c r="AS67" s="65"/>
      <c r="AT67" s="65"/>
      <c r="AU67" s="65"/>
      <c r="AV67" s="65">
        <v>45616</v>
      </c>
      <c r="AW67" s="65" t="s">
        <v>618</v>
      </c>
      <c r="AX67" s="65"/>
      <c r="AY67" s="65"/>
      <c r="AZ67" s="65"/>
      <c r="BA67" s="65"/>
      <c r="BB67" s="65">
        <v>45555</v>
      </c>
      <c r="BC67" s="65" t="s">
        <v>615</v>
      </c>
      <c r="BD67" s="65"/>
      <c r="BE67" s="65"/>
      <c r="BF67" s="65"/>
      <c r="BG67" s="65"/>
      <c r="BH67" s="65">
        <v>45491</v>
      </c>
      <c r="BI67" s="65" t="s">
        <v>624</v>
      </c>
      <c r="BJ67" s="65" t="s">
        <v>622</v>
      </c>
      <c r="BK67" s="65"/>
      <c r="BL67" s="65"/>
      <c r="BM67" s="65"/>
      <c r="BN67" s="65">
        <v>45432</v>
      </c>
      <c r="BO67" s="65" t="s">
        <v>626</v>
      </c>
      <c r="BP67" s="65"/>
      <c r="BQ67" s="65"/>
      <c r="BR67" s="65"/>
      <c r="BS67" s="65"/>
      <c r="BT67" s="65"/>
      <c r="BU67" s="65"/>
      <c r="BV67" s="65"/>
      <c r="BW67" s="65">
        <v>45350</v>
      </c>
      <c r="BX67" s="65" t="s">
        <v>631</v>
      </c>
      <c r="BY67" s="65"/>
      <c r="BZ67" s="65"/>
      <c r="CA67" s="65"/>
      <c r="CB67" s="65"/>
    </row>
    <row r="68" spans="1:80" s="64" customFormat="1" ht="22" customHeight="1" x14ac:dyDescent="0.2">
      <c r="A68" s="53" t="s">
        <v>37</v>
      </c>
      <c r="B68" s="63">
        <f ca="1">TODAY()</f>
        <v>45935</v>
      </c>
      <c r="C68" s="69" t="s">
        <v>527</v>
      </c>
      <c r="D68" s="68" t="s">
        <v>412</v>
      </c>
      <c r="E68" s="64" t="s">
        <v>11</v>
      </c>
      <c r="F68" s="2" t="s">
        <v>111</v>
      </c>
      <c r="G68" s="65">
        <v>45779</v>
      </c>
      <c r="H68" s="65">
        <v>46143</v>
      </c>
      <c r="I68" s="66">
        <f ca="1">(Table26[[#This Row],[Ref Date]]-Table26[[#This Row],[Service Start Date ]])/35</f>
        <v>4.4571428571428573</v>
      </c>
      <c r="J68" s="66">
        <f>COUNTIF(Table26[[#This Row],[2025 October
Actual]:[2024 January 
Done by 2]],"&gt;=" &amp;Table26[[#This Row],[Service Start Date ]])</f>
        <v>4</v>
      </c>
      <c r="K68" s="66">
        <f ca="1">Table26[[#This Row],[Actual Services
to be done]]-Table26[[#This Row],[Completed Services]]</f>
        <v>0.4571428571428573</v>
      </c>
      <c r="L68" s="64" t="s">
        <v>119</v>
      </c>
      <c r="M68" s="67">
        <f ca="1">B68-O68</f>
        <v>2</v>
      </c>
      <c r="N68" s="65">
        <f ca="1">((B68+(-M68+35-10)))</f>
        <v>45958</v>
      </c>
      <c r="O68" s="65">
        <v>45933</v>
      </c>
      <c r="P68" s="65" t="s">
        <v>618</v>
      </c>
      <c r="Q68" s="65"/>
      <c r="R68" s="65">
        <v>45901</v>
      </c>
      <c r="S68" s="65" t="s">
        <v>618</v>
      </c>
      <c r="T68" s="65"/>
      <c r="U68" s="65"/>
      <c r="V68" s="65"/>
      <c r="W68" s="65"/>
      <c r="X68" s="65"/>
      <c r="Y68" s="65"/>
      <c r="Z68" s="65"/>
      <c r="AA68" s="65">
        <v>45835</v>
      </c>
      <c r="AB68" s="65" t="s">
        <v>621</v>
      </c>
      <c r="AC68" s="65"/>
      <c r="AD68" s="65">
        <v>45807</v>
      </c>
      <c r="AE68" s="65" t="s">
        <v>615</v>
      </c>
      <c r="AF68" s="65"/>
      <c r="AG68" s="65">
        <v>45764</v>
      </c>
      <c r="AH68" s="65" t="s">
        <v>615</v>
      </c>
      <c r="AI68" s="65"/>
      <c r="AJ68" s="65">
        <v>45724</v>
      </c>
      <c r="AK68" s="65" t="s">
        <v>618</v>
      </c>
      <c r="AL68" s="65"/>
      <c r="AM68" s="65">
        <v>45701</v>
      </c>
      <c r="AN68" s="65" t="s">
        <v>615</v>
      </c>
      <c r="AO68" s="65"/>
      <c r="AP68" s="65">
        <v>45668</v>
      </c>
      <c r="AQ68" s="65" t="s">
        <v>615</v>
      </c>
      <c r="AR68" s="65"/>
      <c r="AS68" s="65">
        <v>45639</v>
      </c>
      <c r="AT68" s="65" t="s">
        <v>615</v>
      </c>
      <c r="AU68" s="65"/>
      <c r="AV68" s="65">
        <v>45615</v>
      </c>
      <c r="AW68" s="65" t="s">
        <v>615</v>
      </c>
      <c r="AX68" s="65"/>
      <c r="AY68" s="65">
        <v>45587</v>
      </c>
      <c r="AZ68" s="65" t="s">
        <v>618</v>
      </c>
      <c r="BA68" s="65"/>
      <c r="BB68" s="65">
        <v>45562</v>
      </c>
      <c r="BC68" s="65" t="s">
        <v>622</v>
      </c>
      <c r="BD68" s="65"/>
      <c r="BE68" s="65">
        <v>45517</v>
      </c>
      <c r="BF68" s="65" t="s">
        <v>615</v>
      </c>
      <c r="BG68" s="65"/>
      <c r="BH68" s="65">
        <v>45474</v>
      </c>
      <c r="BI68" s="65" t="s">
        <v>628</v>
      </c>
      <c r="BJ68" s="65"/>
      <c r="BK68" s="65"/>
      <c r="BL68" s="65"/>
      <c r="BM68" s="65"/>
      <c r="BN68" s="65"/>
      <c r="BO68" s="65"/>
      <c r="BP68" s="65"/>
      <c r="BQ68" s="65">
        <v>45411</v>
      </c>
      <c r="BR68" s="65" t="s">
        <v>629</v>
      </c>
      <c r="BS68" s="65"/>
      <c r="BT68" s="65">
        <v>45362</v>
      </c>
      <c r="BU68" s="65" t="s">
        <v>629</v>
      </c>
      <c r="BV68" s="65"/>
      <c r="BW68" s="65"/>
      <c r="BX68" s="65"/>
      <c r="BY68" s="65"/>
      <c r="BZ68" s="65"/>
      <c r="CA68" s="65"/>
      <c r="CB68" s="65"/>
    </row>
    <row r="69" spans="1:80" s="64" customFormat="1" ht="22" customHeight="1" x14ac:dyDescent="0.2">
      <c r="A69" s="53" t="s">
        <v>37</v>
      </c>
      <c r="B69" s="63">
        <f ca="1">TODAY()</f>
        <v>45935</v>
      </c>
      <c r="C69" s="69" t="s">
        <v>515</v>
      </c>
      <c r="D69" s="68" t="s">
        <v>393</v>
      </c>
      <c r="E69" s="64" t="s">
        <v>24</v>
      </c>
      <c r="F69" s="2" t="s">
        <v>113</v>
      </c>
      <c r="G69" s="65">
        <v>45839</v>
      </c>
      <c r="H69" s="65">
        <v>46203</v>
      </c>
      <c r="I69" s="66">
        <f ca="1">(Table26[[#This Row],[Ref Date]]-Table26[[#This Row],[Service Start Date ]])/35</f>
        <v>2.7428571428571429</v>
      </c>
      <c r="J69" s="66">
        <f>COUNTIF(Table26[[#This Row],[2025 October
Actual]:[2024 January 
Done by 2]],"&gt;=" &amp;Table26[[#This Row],[Service Start Date ]])</f>
        <v>2</v>
      </c>
      <c r="K69" s="66">
        <f ca="1">Table26[[#This Row],[Actual Services
to be done]]-Table26[[#This Row],[Completed Services]]</f>
        <v>0.74285714285714288</v>
      </c>
      <c r="L69" s="64" t="s">
        <v>119</v>
      </c>
      <c r="M69" s="67">
        <f ca="1">B69-R69</f>
        <v>11</v>
      </c>
      <c r="N69" s="65">
        <f ca="1">((B69+(-M69+35-10)))</f>
        <v>45949</v>
      </c>
      <c r="O69" s="65"/>
      <c r="P69" s="65"/>
      <c r="Q69" s="65"/>
      <c r="R69" s="65">
        <v>45924</v>
      </c>
      <c r="S69" s="65" t="s">
        <v>618</v>
      </c>
      <c r="T69" s="65"/>
      <c r="U69" s="65">
        <v>45878</v>
      </c>
      <c r="V69" s="65" t="s">
        <v>618</v>
      </c>
      <c r="W69" s="65"/>
      <c r="X69" s="65"/>
      <c r="Y69" s="65"/>
      <c r="Z69" s="65"/>
      <c r="AA69" s="65"/>
      <c r="AB69" s="65"/>
      <c r="AC69" s="65"/>
      <c r="AD69" s="65">
        <v>45782</v>
      </c>
      <c r="AE69" s="65" t="s">
        <v>622</v>
      </c>
      <c r="AF69" s="65"/>
      <c r="AG69" s="65">
        <v>45749</v>
      </c>
      <c r="AH69" s="65" t="s">
        <v>622</v>
      </c>
      <c r="AI69" s="65"/>
      <c r="AJ69" s="65">
        <v>45720</v>
      </c>
      <c r="AK69" s="65" t="s">
        <v>621</v>
      </c>
      <c r="AL69" s="65"/>
      <c r="AM69" s="65">
        <v>45713</v>
      </c>
      <c r="AN69" s="65" t="s">
        <v>622</v>
      </c>
      <c r="AO69" s="65"/>
      <c r="AP69" s="65">
        <v>45687</v>
      </c>
      <c r="AQ69" s="65" t="s">
        <v>618</v>
      </c>
      <c r="AR69" s="65"/>
      <c r="AS69" s="65">
        <v>45650</v>
      </c>
      <c r="AT69" s="65" t="s">
        <v>615</v>
      </c>
      <c r="AU69" s="65"/>
      <c r="AV69" s="65">
        <v>45614</v>
      </c>
      <c r="AW69" s="65" t="s">
        <v>622</v>
      </c>
      <c r="AX69" s="65"/>
      <c r="AY69" s="65">
        <v>45570</v>
      </c>
      <c r="AZ69" s="95" t="s">
        <v>622</v>
      </c>
      <c r="BA69" s="65"/>
      <c r="BB69" s="65">
        <v>45541</v>
      </c>
      <c r="BC69" s="65" t="s">
        <v>615</v>
      </c>
      <c r="BD69" s="65"/>
      <c r="BE69" s="65"/>
      <c r="BF69" s="65"/>
      <c r="BG69" s="65"/>
      <c r="BH69" s="65">
        <v>45500</v>
      </c>
      <c r="BI69" s="65" t="s">
        <v>628</v>
      </c>
      <c r="BJ69" s="65"/>
      <c r="BK69" s="65"/>
      <c r="BL69" s="65"/>
      <c r="BM69" s="65"/>
      <c r="BN69" s="65">
        <v>45419</v>
      </c>
      <c r="BO69" s="65" t="s">
        <v>621</v>
      </c>
      <c r="BP69" s="65"/>
      <c r="BQ69" s="65">
        <v>45390</v>
      </c>
      <c r="BR69" s="65" t="s">
        <v>629</v>
      </c>
      <c r="BS69" s="65"/>
      <c r="BT69" s="65">
        <v>45365</v>
      </c>
      <c r="BU69" s="65" t="s">
        <v>630</v>
      </c>
      <c r="BV69" s="65"/>
      <c r="BW69" s="65">
        <v>45325</v>
      </c>
      <c r="BX69" s="65" t="s">
        <v>630</v>
      </c>
      <c r="BY69" s="65"/>
      <c r="BZ69" s="65"/>
      <c r="CA69" s="65"/>
      <c r="CB69" s="65"/>
    </row>
    <row r="70" spans="1:80" s="64" customFormat="1" ht="22" customHeight="1" x14ac:dyDescent="0.2">
      <c r="A70" s="53" t="s">
        <v>37</v>
      </c>
      <c r="B70" s="63">
        <f ca="1">TODAY()</f>
        <v>45935</v>
      </c>
      <c r="C70" s="69" t="s">
        <v>491</v>
      </c>
      <c r="D70" s="68" t="s">
        <v>339</v>
      </c>
      <c r="E70" s="64" t="s">
        <v>14</v>
      </c>
      <c r="F70" s="2" t="s">
        <v>111</v>
      </c>
      <c r="G70" s="65">
        <v>45597</v>
      </c>
      <c r="H70" s="65">
        <v>45961</v>
      </c>
      <c r="I70" s="66">
        <f ca="1">(Table26[[#This Row],[Ref Date]]-Table26[[#This Row],[Service Start Date ]])/60</f>
        <v>5.6333333333333337</v>
      </c>
      <c r="J70" s="66">
        <f>COUNTIF(Table26[[#This Row],[2025 October
Actual]:[2024 January 
Done by 2]],"&gt;=" &amp;Table26[[#This Row],[Service Start Date ]])</f>
        <v>5</v>
      </c>
      <c r="K70" s="66">
        <f ca="1">Table26[[#This Row],[Actual Services
to be done]]-Table26[[#This Row],[Completed Services]]</f>
        <v>0.63333333333333375</v>
      </c>
      <c r="L70" s="64" t="s">
        <v>118</v>
      </c>
      <c r="M70" s="67">
        <f ca="1">B70-R70</f>
        <v>9</v>
      </c>
      <c r="N70" s="65">
        <f ca="1">((B70+(-M70+60-10)))</f>
        <v>45976</v>
      </c>
      <c r="O70" s="65"/>
      <c r="P70" s="65"/>
      <c r="Q70" s="65"/>
      <c r="R70" s="65">
        <v>45926</v>
      </c>
      <c r="S70" s="65" t="s">
        <v>615</v>
      </c>
      <c r="T70" s="65"/>
      <c r="U70" s="65"/>
      <c r="V70" s="65"/>
      <c r="W70" s="65"/>
      <c r="X70" s="65">
        <v>45839</v>
      </c>
      <c r="Y70" s="65" t="s">
        <v>618</v>
      </c>
      <c r="Z70" s="65"/>
      <c r="AA70" s="65"/>
      <c r="AB70" s="65"/>
      <c r="AC70" s="65"/>
      <c r="AD70" s="65"/>
      <c r="AE70" s="65"/>
      <c r="AF70" s="65"/>
      <c r="AG70" s="65">
        <v>45777</v>
      </c>
      <c r="AH70" s="65" t="s">
        <v>622</v>
      </c>
      <c r="AI70" s="65"/>
      <c r="AJ70" s="65"/>
      <c r="AK70" s="65"/>
      <c r="AL70" s="65"/>
      <c r="AM70" s="65">
        <v>45693</v>
      </c>
      <c r="AN70" s="65" t="s">
        <v>615</v>
      </c>
      <c r="AO70" s="65"/>
      <c r="AP70" s="65"/>
      <c r="AQ70" s="65"/>
      <c r="AR70" s="65"/>
      <c r="AS70" s="65">
        <v>45642</v>
      </c>
      <c r="AT70" s="65" t="s">
        <v>618</v>
      </c>
      <c r="AU70" s="65"/>
      <c r="AV70" s="65"/>
      <c r="AW70" s="65"/>
      <c r="AX70" s="65"/>
      <c r="AY70" s="65">
        <v>45593</v>
      </c>
      <c r="AZ70" s="65" t="s">
        <v>618</v>
      </c>
      <c r="BA70" s="65"/>
      <c r="BB70" s="65">
        <v>45552</v>
      </c>
      <c r="BC70" s="65" t="s">
        <v>618</v>
      </c>
      <c r="BD70" s="65"/>
      <c r="BE70" s="65"/>
      <c r="BF70" s="65"/>
      <c r="BG70" s="65"/>
      <c r="BH70" s="65">
        <v>45490</v>
      </c>
      <c r="BI70" s="65" t="s">
        <v>628</v>
      </c>
      <c r="BJ70" s="65" t="s">
        <v>622</v>
      </c>
      <c r="BK70" s="65"/>
      <c r="BL70" s="65"/>
      <c r="BM70" s="65"/>
      <c r="BN70" s="65">
        <v>45429</v>
      </c>
      <c r="BO70" s="65" t="s">
        <v>626</v>
      </c>
      <c r="BP70" s="65"/>
      <c r="BQ70" s="65"/>
      <c r="BR70" s="65"/>
      <c r="BS70" s="65"/>
      <c r="BT70" s="65"/>
      <c r="BU70" s="65"/>
      <c r="BV70" s="65"/>
      <c r="BW70" s="65">
        <v>45336</v>
      </c>
      <c r="BX70" s="65" t="s">
        <v>629</v>
      </c>
      <c r="BY70" s="65"/>
      <c r="BZ70" s="65"/>
      <c r="CA70" s="65"/>
      <c r="CB70" s="65"/>
    </row>
    <row r="71" spans="1:80" s="64" customFormat="1" ht="22" customHeight="1" x14ac:dyDescent="0.2">
      <c r="A71" s="53" t="s">
        <v>37</v>
      </c>
      <c r="B71" s="63">
        <f ca="1">TODAY()</f>
        <v>45935</v>
      </c>
      <c r="C71" s="69" t="s">
        <v>586</v>
      </c>
      <c r="D71" s="68" t="s">
        <v>392</v>
      </c>
      <c r="E71" s="64" t="s">
        <v>44</v>
      </c>
      <c r="F71" s="2" t="s">
        <v>112</v>
      </c>
      <c r="G71" s="65">
        <v>45732</v>
      </c>
      <c r="H71" s="65">
        <v>46096</v>
      </c>
      <c r="I71" s="66">
        <f ca="1">(Table26[[#This Row],[Ref Date]]-Table26[[#This Row],[Service Start Date ]])/35</f>
        <v>5.8</v>
      </c>
      <c r="J71" s="66">
        <f>COUNTIF(Table26[[#This Row],[2025 October
Actual]:[2024 January 
Done by 2]],"&gt;=" &amp;Table26[[#This Row],[Service Start Date ]])</f>
        <v>3</v>
      </c>
      <c r="K71" s="66">
        <f ca="1">Table26[[#This Row],[Actual Services
to be done]]-Table26[[#This Row],[Completed Services]]</f>
        <v>2.8</v>
      </c>
      <c r="L71" s="64" t="s">
        <v>119</v>
      </c>
      <c r="M71" s="67">
        <f ca="1">B71-R71</f>
        <v>8</v>
      </c>
      <c r="N71" s="65">
        <f ca="1">((B71+(-M71+35-10)))</f>
        <v>45952</v>
      </c>
      <c r="O71" s="65"/>
      <c r="P71" s="65"/>
      <c r="Q71" s="65"/>
      <c r="R71" s="65">
        <v>45927</v>
      </c>
      <c r="S71" s="65" t="s">
        <v>618</v>
      </c>
      <c r="T71" s="65"/>
      <c r="U71" s="65">
        <v>45878</v>
      </c>
      <c r="V71" s="65" t="s">
        <v>621</v>
      </c>
      <c r="W71" s="65"/>
      <c r="X71" s="65">
        <v>45846</v>
      </c>
      <c r="Y71" s="65" t="s">
        <v>621</v>
      </c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>
        <v>45699</v>
      </c>
      <c r="AN71" s="65" t="s">
        <v>615</v>
      </c>
      <c r="AO71" s="65"/>
      <c r="AP71" s="65">
        <v>45666</v>
      </c>
      <c r="AQ71" s="65" t="s">
        <v>615</v>
      </c>
      <c r="AR71" s="65"/>
      <c r="AS71" s="65">
        <v>45642</v>
      </c>
      <c r="AT71" s="65" t="s">
        <v>618</v>
      </c>
      <c r="AU71" s="65"/>
      <c r="AV71" s="65">
        <v>45601</v>
      </c>
      <c r="AW71" s="65" t="s">
        <v>615</v>
      </c>
      <c r="AX71" s="65"/>
      <c r="AY71" s="65">
        <v>45569</v>
      </c>
      <c r="AZ71" s="65" t="s">
        <v>615</v>
      </c>
      <c r="BA71" s="65"/>
      <c r="BB71" s="65">
        <v>45540</v>
      </c>
      <c r="BC71" s="65" t="s">
        <v>615</v>
      </c>
      <c r="BD71" s="65"/>
      <c r="BE71" s="65"/>
      <c r="BF71" s="65"/>
      <c r="BG71" s="65"/>
      <c r="BH71" s="65">
        <v>45502</v>
      </c>
      <c r="BI71" s="65" t="s">
        <v>628</v>
      </c>
      <c r="BJ71" s="65" t="s">
        <v>622</v>
      </c>
      <c r="BK71" s="65"/>
      <c r="BL71" s="65"/>
      <c r="BM71" s="65"/>
      <c r="BN71" s="65"/>
      <c r="BO71" s="65"/>
      <c r="BP71" s="65"/>
      <c r="BQ71" s="65">
        <v>45407</v>
      </c>
      <c r="BR71" s="65" t="s">
        <v>629</v>
      </c>
      <c r="BS71" s="65"/>
      <c r="BT71" s="65">
        <v>45355</v>
      </c>
      <c r="BU71" s="65" t="s">
        <v>621</v>
      </c>
      <c r="BV71" s="65" t="s">
        <v>631</v>
      </c>
      <c r="BW71" s="65"/>
      <c r="BX71" s="65"/>
      <c r="BY71" s="65"/>
      <c r="BZ71" s="65">
        <v>45310</v>
      </c>
      <c r="CA71" s="65" t="s">
        <v>629</v>
      </c>
      <c r="CB71" s="65"/>
    </row>
    <row r="72" spans="1:80" s="64" customFormat="1" ht="22" customHeight="1" x14ac:dyDescent="0.2">
      <c r="A72" s="53" t="s">
        <v>37</v>
      </c>
      <c r="B72" s="63">
        <f ca="1">TODAY()</f>
        <v>45935</v>
      </c>
      <c r="C72" s="69" t="s">
        <v>526</v>
      </c>
      <c r="D72" s="68" t="s">
        <v>295</v>
      </c>
      <c r="E72" s="64" t="s">
        <v>156</v>
      </c>
      <c r="F72" s="2" t="s">
        <v>113</v>
      </c>
      <c r="G72" s="65">
        <v>45842</v>
      </c>
      <c r="H72" s="65">
        <v>46206</v>
      </c>
      <c r="I72" s="66">
        <f ca="1">(Table26[[#This Row],[Ref Date]]-Table26[[#This Row],[Service Start Date ]])/35</f>
        <v>2.657142857142857</v>
      </c>
      <c r="J72" s="66">
        <f>COUNTIF(Table26[[#This Row],[2025 October
Actual]:[2024 January 
Done by 2]],"&gt;=" &amp;Table26[[#This Row],[Service Start Date ]])</f>
        <v>1</v>
      </c>
      <c r="K72" s="66">
        <f ca="1">Table26[[#This Row],[Actual Services
to be done]]-Table26[[#This Row],[Completed Services]]</f>
        <v>1.657142857142857</v>
      </c>
      <c r="L72" s="64" t="s">
        <v>119</v>
      </c>
      <c r="M72" s="67">
        <f ca="1">B72-X72</f>
        <v>71</v>
      </c>
      <c r="N72" s="65">
        <f ca="1">((B72+(-M72+35-10)))</f>
        <v>45889</v>
      </c>
      <c r="O72" s="65"/>
      <c r="P72" s="65"/>
      <c r="Q72" s="65"/>
      <c r="R72" s="65"/>
      <c r="S72" s="65"/>
      <c r="T72" s="65"/>
      <c r="U72" s="65"/>
      <c r="V72" s="65"/>
      <c r="W72" s="65"/>
      <c r="X72" s="65">
        <v>45864</v>
      </c>
      <c r="Y72" s="65" t="s">
        <v>618</v>
      </c>
      <c r="Z72" s="65"/>
      <c r="AA72" s="65">
        <v>45813</v>
      </c>
      <c r="AB72" s="65" t="s">
        <v>618</v>
      </c>
      <c r="AC72" s="65"/>
      <c r="AD72" s="65"/>
      <c r="AE72" s="65"/>
      <c r="AF72" s="65"/>
      <c r="AG72" s="65">
        <v>45751</v>
      </c>
      <c r="AH72" s="65" t="s">
        <v>622</v>
      </c>
      <c r="AI72" s="65"/>
      <c r="AJ72" s="65">
        <v>45722</v>
      </c>
      <c r="AK72" s="65" t="s">
        <v>622</v>
      </c>
      <c r="AL72" s="65"/>
      <c r="AM72" s="65">
        <v>45700</v>
      </c>
      <c r="AN72" s="65" t="s">
        <v>622</v>
      </c>
      <c r="AO72" s="65"/>
      <c r="AP72" s="65">
        <v>45681</v>
      </c>
      <c r="AQ72" s="65" t="s">
        <v>622</v>
      </c>
      <c r="AR72" s="65"/>
      <c r="AS72" s="65">
        <v>45656</v>
      </c>
      <c r="AT72" s="65" t="s">
        <v>622</v>
      </c>
      <c r="AU72" s="65"/>
      <c r="AV72" s="65">
        <v>45617</v>
      </c>
      <c r="AW72" s="65" t="s">
        <v>622</v>
      </c>
      <c r="AX72" s="65"/>
      <c r="AY72" s="65">
        <v>45572</v>
      </c>
      <c r="AZ72" s="95" t="s">
        <v>622</v>
      </c>
      <c r="BA72" s="65"/>
      <c r="BB72" s="65">
        <v>45542</v>
      </c>
      <c r="BC72" s="65" t="s">
        <v>618</v>
      </c>
      <c r="BD72" s="65"/>
      <c r="BE72" s="65"/>
      <c r="BF72" s="65"/>
      <c r="BG72" s="65"/>
      <c r="BH72" s="65">
        <v>45483</v>
      </c>
      <c r="BI72" s="65" t="s">
        <v>628</v>
      </c>
      <c r="BJ72" s="65" t="s">
        <v>615</v>
      </c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</row>
    <row r="73" spans="1:80" s="64" customFormat="1" ht="22" customHeight="1" x14ac:dyDescent="0.2">
      <c r="A73" s="53" t="s">
        <v>37</v>
      </c>
      <c r="B73" s="63">
        <f ca="1">TODAY()</f>
        <v>45935</v>
      </c>
      <c r="C73" s="69" t="s">
        <v>430</v>
      </c>
      <c r="D73" s="68" t="s">
        <v>411</v>
      </c>
      <c r="E73" s="64" t="s">
        <v>42</v>
      </c>
      <c r="F73" s="2" t="s">
        <v>111</v>
      </c>
      <c r="G73" s="65">
        <v>45597</v>
      </c>
      <c r="H73" s="65">
        <v>45961</v>
      </c>
      <c r="I73" s="66">
        <f ca="1">(Table26[[#This Row],[Ref Date]]-Table26[[#This Row],[Service Start Date ]])/60</f>
        <v>5.6333333333333337</v>
      </c>
      <c r="J73" s="66">
        <f>COUNTIF(Table26[[#This Row],[2025 October
Actual]:[2024 January 
Done by 2]],"&gt;=" &amp;Table26[[#This Row],[Service Start Date ]])</f>
        <v>3</v>
      </c>
      <c r="K73" s="66">
        <f ca="1">Table26[[#This Row],[Actual Services
to be done]]-Table26[[#This Row],[Completed Services]]</f>
        <v>2.6333333333333337</v>
      </c>
      <c r="L73" s="64" t="s">
        <v>118</v>
      </c>
      <c r="M73" s="67">
        <f ca="1">B73-AG73</f>
        <v>159</v>
      </c>
      <c r="N73" s="65">
        <f ca="1">((B73+(-M73+60-10)))</f>
        <v>45826</v>
      </c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>
        <v>45776</v>
      </c>
      <c r="AH73" s="65" t="s">
        <v>615</v>
      </c>
      <c r="AI73" s="65"/>
      <c r="AJ73" s="65"/>
      <c r="AK73" s="65"/>
      <c r="AL73" s="65"/>
      <c r="AM73" s="65">
        <v>45696</v>
      </c>
      <c r="AN73" s="65" t="s">
        <v>615</v>
      </c>
      <c r="AO73" s="65"/>
      <c r="AP73" s="65"/>
      <c r="AQ73" s="65"/>
      <c r="AR73" s="65"/>
      <c r="AS73" s="65"/>
      <c r="AT73" s="65"/>
      <c r="AU73" s="65"/>
      <c r="AV73" s="65">
        <v>45624</v>
      </c>
      <c r="AW73" s="65" t="s">
        <v>615</v>
      </c>
      <c r="AX73" s="65"/>
      <c r="AY73" s="65"/>
      <c r="AZ73" s="65"/>
      <c r="BA73" s="65"/>
      <c r="BB73" s="65">
        <v>45537</v>
      </c>
      <c r="BC73" s="65" t="s">
        <v>618</v>
      </c>
      <c r="BD73" s="65"/>
      <c r="BE73" s="65"/>
      <c r="BF73" s="65"/>
      <c r="BG73" s="65"/>
      <c r="BH73" s="65">
        <v>45477</v>
      </c>
      <c r="BI73" s="65" t="s">
        <v>628</v>
      </c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>
        <v>45359</v>
      </c>
      <c r="BU73" s="65" t="s">
        <v>630</v>
      </c>
      <c r="BV73" s="65"/>
      <c r="BW73" s="65"/>
      <c r="BX73" s="65"/>
      <c r="BY73" s="65"/>
      <c r="BZ73" s="65"/>
      <c r="CA73" s="65"/>
      <c r="CB73" s="65"/>
    </row>
    <row r="74" spans="1:80" s="64" customFormat="1" ht="22" customHeight="1" x14ac:dyDescent="0.2">
      <c r="A74" s="53" t="s">
        <v>37</v>
      </c>
      <c r="B74" s="63">
        <f ca="1">TODAY()</f>
        <v>45935</v>
      </c>
      <c r="C74" s="69" t="s">
        <v>420</v>
      </c>
      <c r="D74" s="68" t="s">
        <v>399</v>
      </c>
      <c r="E74" s="126" t="s">
        <v>49</v>
      </c>
      <c r="F74" s="2" t="s">
        <v>111</v>
      </c>
      <c r="G74" s="65">
        <v>45659</v>
      </c>
      <c r="H74" s="65">
        <v>46023</v>
      </c>
      <c r="I74" s="66">
        <f ca="1">(Table26[[#This Row],[Ref Date]]-Table26[[#This Row],[Service Start Date ]])/35</f>
        <v>7.8857142857142861</v>
      </c>
      <c r="J74" s="66">
        <f>COUNTIF(Table26[[#This Row],[2025 October
Actual]:[2024 January 
Done by 2]],"&gt;=" &amp;Table26[[#This Row],[Service Start Date ]])</f>
        <v>7</v>
      </c>
      <c r="K74" s="66">
        <f ca="1">Table26[[#This Row],[Actual Services
to be done]]-Table26[[#This Row],[Completed Services]]</f>
        <v>0.88571428571428612</v>
      </c>
      <c r="L74" s="64" t="s">
        <v>119</v>
      </c>
      <c r="M74" s="67">
        <f ca="1">B74-R74</f>
        <v>33</v>
      </c>
      <c r="N74" s="65">
        <f ca="1">((B74+(-M74+35-10)))</f>
        <v>45927</v>
      </c>
      <c r="O74" s="65"/>
      <c r="P74" s="65"/>
      <c r="Q74" s="65"/>
      <c r="R74" s="65">
        <v>45902</v>
      </c>
      <c r="S74" s="65" t="s">
        <v>618</v>
      </c>
      <c r="T74" s="65" t="s">
        <v>617</v>
      </c>
      <c r="U74" s="65"/>
      <c r="V74" s="65"/>
      <c r="W74" s="65"/>
      <c r="X74" s="65">
        <v>45863</v>
      </c>
      <c r="Y74" s="65" t="s">
        <v>618</v>
      </c>
      <c r="Z74" s="65"/>
      <c r="AA74" s="65">
        <v>45812</v>
      </c>
      <c r="AB74" s="65" t="s">
        <v>615</v>
      </c>
      <c r="AC74" s="65"/>
      <c r="AD74" s="65"/>
      <c r="AE74" s="65"/>
      <c r="AF74" s="65"/>
      <c r="AG74" s="65">
        <v>45777</v>
      </c>
      <c r="AH74" s="65" t="s">
        <v>618</v>
      </c>
      <c r="AI74" s="65"/>
      <c r="AJ74" s="65">
        <v>45738</v>
      </c>
      <c r="AK74" s="65" t="s">
        <v>621</v>
      </c>
      <c r="AL74" s="65"/>
      <c r="AM74" s="65">
        <v>45709</v>
      </c>
      <c r="AN74" s="65" t="s">
        <v>615</v>
      </c>
      <c r="AO74" s="65"/>
      <c r="AP74" s="65">
        <v>45686</v>
      </c>
      <c r="AQ74" s="65" t="s">
        <v>615</v>
      </c>
      <c r="AR74" s="65"/>
      <c r="AS74" s="65">
        <v>45639</v>
      </c>
      <c r="AT74" s="65" t="s">
        <v>615</v>
      </c>
      <c r="AU74" s="65"/>
      <c r="AV74" s="65">
        <v>45612</v>
      </c>
      <c r="AW74" s="65" t="s">
        <v>618</v>
      </c>
      <c r="AX74" s="65"/>
      <c r="AY74" s="65">
        <v>45579</v>
      </c>
      <c r="AZ74" s="65" t="s">
        <v>618</v>
      </c>
      <c r="BA74" s="65"/>
      <c r="BB74" s="65">
        <v>45554</v>
      </c>
      <c r="BC74" s="65" t="s">
        <v>618</v>
      </c>
      <c r="BD74" s="65"/>
      <c r="BE74" s="65">
        <v>45523</v>
      </c>
      <c r="BF74" s="65" t="s">
        <v>615</v>
      </c>
      <c r="BG74" s="65"/>
      <c r="BH74" s="65">
        <v>45488</v>
      </c>
      <c r="BI74" s="65" t="s">
        <v>621</v>
      </c>
      <c r="BJ74" s="65" t="s">
        <v>615</v>
      </c>
      <c r="BK74" s="65"/>
      <c r="BL74" s="65"/>
      <c r="BM74" s="65"/>
      <c r="BN74" s="65"/>
      <c r="BO74" s="65"/>
      <c r="BP74" s="65"/>
      <c r="BQ74" s="65"/>
      <c r="BR74" s="65"/>
      <c r="BS74" s="65"/>
      <c r="BT74" s="87">
        <v>45369</v>
      </c>
      <c r="BU74" s="87" t="s">
        <v>629</v>
      </c>
      <c r="BV74" s="65"/>
      <c r="BW74" s="65">
        <v>45328</v>
      </c>
      <c r="BX74" s="65" t="s">
        <v>629</v>
      </c>
      <c r="BY74" s="65"/>
      <c r="BZ74" s="65"/>
      <c r="CA74" s="65"/>
      <c r="CB74" s="65"/>
    </row>
    <row r="75" spans="1:80" s="91" customFormat="1" ht="22" customHeight="1" x14ac:dyDescent="0.2">
      <c r="A75" s="53" t="s">
        <v>37</v>
      </c>
      <c r="B75" s="63">
        <f ca="1">TODAY()</f>
        <v>45935</v>
      </c>
      <c r="C75" s="69" t="s">
        <v>478</v>
      </c>
      <c r="D75" s="68" t="s">
        <v>314</v>
      </c>
      <c r="E75" s="64" t="s">
        <v>25</v>
      </c>
      <c r="F75" s="2" t="s">
        <v>111</v>
      </c>
      <c r="G75" s="65">
        <v>45627</v>
      </c>
      <c r="H75" s="65">
        <v>45991</v>
      </c>
      <c r="I75" s="66">
        <f ca="1">(Table26[[#This Row],[Ref Date]]-Table26[[#This Row],[Service Start Date ]])/60</f>
        <v>5.1333333333333337</v>
      </c>
      <c r="J75" s="66">
        <f>COUNTIF(Table26[[#This Row],[2025 October
Actual]:[2024 January 
Done by 2]],"&gt;=" &amp;Table26[[#This Row],[Service Start Date ]])</f>
        <v>5</v>
      </c>
      <c r="K75" s="66">
        <f ca="1">Table26[[#This Row],[Actual Services
to be done]]-Table26[[#This Row],[Completed Services]]</f>
        <v>0.13333333333333375</v>
      </c>
      <c r="L75" s="64" t="s">
        <v>118</v>
      </c>
      <c r="M75" s="67">
        <f ca="1">B75-R75</f>
        <v>18</v>
      </c>
      <c r="N75" s="65">
        <f ca="1">((B75+(-M75+60)))</f>
        <v>45977</v>
      </c>
      <c r="O75" s="65"/>
      <c r="P75" s="65"/>
      <c r="Q75" s="65"/>
      <c r="R75" s="65">
        <v>45917</v>
      </c>
      <c r="S75" s="65" t="s">
        <v>615</v>
      </c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>
        <v>45785</v>
      </c>
      <c r="AE75" s="65" t="s">
        <v>618</v>
      </c>
      <c r="AF75" s="65"/>
      <c r="AG75" s="65"/>
      <c r="AH75" s="65"/>
      <c r="AI75" s="65"/>
      <c r="AJ75" s="65">
        <v>45722</v>
      </c>
      <c r="AK75" s="65" t="s">
        <v>618</v>
      </c>
      <c r="AL75" s="65"/>
      <c r="AM75" s="65">
        <v>45689</v>
      </c>
      <c r="AN75" s="65" t="s">
        <v>622</v>
      </c>
      <c r="AO75" s="65"/>
      <c r="AP75" s="65"/>
      <c r="AQ75" s="65"/>
      <c r="AR75" s="65"/>
      <c r="AS75" s="65">
        <v>45630</v>
      </c>
      <c r="AT75" s="65" t="s">
        <v>615</v>
      </c>
      <c r="AU75" s="65"/>
      <c r="AV75" s="65"/>
      <c r="AW75" s="65"/>
      <c r="AX75" s="65"/>
      <c r="AY75" s="65">
        <v>45583</v>
      </c>
      <c r="AZ75" s="65" t="s">
        <v>615</v>
      </c>
      <c r="BA75" s="65" t="s">
        <v>618</v>
      </c>
      <c r="BB75" s="65">
        <v>45540</v>
      </c>
      <c r="BC75" s="65" t="s">
        <v>618</v>
      </c>
      <c r="BD75" s="65"/>
      <c r="BE75" s="65"/>
      <c r="BF75" s="65"/>
      <c r="BG75" s="65"/>
      <c r="BH75" s="65">
        <v>45482</v>
      </c>
      <c r="BI75" s="65" t="s">
        <v>621</v>
      </c>
      <c r="BJ75" s="65" t="s">
        <v>622</v>
      </c>
      <c r="BK75" s="65"/>
      <c r="BL75" s="65"/>
      <c r="BM75" s="65"/>
      <c r="BN75" s="65">
        <v>45440</v>
      </c>
      <c r="BO75" s="65" t="s">
        <v>621</v>
      </c>
      <c r="BP75" s="65"/>
      <c r="BQ75" s="65">
        <v>45386</v>
      </c>
      <c r="BR75" s="65" t="s">
        <v>629</v>
      </c>
      <c r="BS75" s="65"/>
      <c r="BT75" s="65"/>
      <c r="BU75" s="65"/>
      <c r="BV75" s="65"/>
      <c r="BW75" s="65"/>
      <c r="BX75" s="65"/>
      <c r="BY75" s="65"/>
      <c r="BZ75" s="65">
        <v>45310</v>
      </c>
      <c r="CA75" s="65" t="s">
        <v>629</v>
      </c>
      <c r="CB75" s="65"/>
    </row>
    <row r="76" spans="1:80" s="64" customFormat="1" ht="22" customHeight="1" x14ac:dyDescent="0.2">
      <c r="A76" s="53" t="s">
        <v>37</v>
      </c>
      <c r="B76" s="63">
        <f ca="1">TODAY()</f>
        <v>45935</v>
      </c>
      <c r="C76" s="69" t="s">
        <v>501</v>
      </c>
      <c r="D76" s="68" t="s">
        <v>388</v>
      </c>
      <c r="E76" s="64" t="s">
        <v>17</v>
      </c>
      <c r="F76" s="2" t="s">
        <v>111</v>
      </c>
      <c r="G76" s="65">
        <v>45680</v>
      </c>
      <c r="H76" s="65">
        <v>46044</v>
      </c>
      <c r="I76" s="66">
        <f ca="1">(Table26[[#This Row],[Ref Date]]-Table26[[#This Row],[Service Start Date ]])/35</f>
        <v>7.2857142857142856</v>
      </c>
      <c r="J76" s="66">
        <f>COUNTIF(Table26[[#This Row],[2025 October
Actual]:[2024 January 
Done by 2]],"&gt;=" &amp;Table26[[#This Row],[Service Start Date ]])</f>
        <v>6</v>
      </c>
      <c r="K76" s="66">
        <f ca="1">Table26[[#This Row],[Actual Services
to be done]]-Table26[[#This Row],[Completed Services]]</f>
        <v>1.2857142857142856</v>
      </c>
      <c r="L76" s="64" t="s">
        <v>119</v>
      </c>
      <c r="M76" s="67">
        <f ca="1">B76-R76</f>
        <v>11</v>
      </c>
      <c r="N76" s="65">
        <f ca="1">((B76+(-M76+35-10)))</f>
        <v>45949</v>
      </c>
      <c r="O76" s="65"/>
      <c r="P76" s="65"/>
      <c r="Q76" s="65"/>
      <c r="R76" s="65">
        <v>45924</v>
      </c>
      <c r="S76" s="65" t="s">
        <v>615</v>
      </c>
      <c r="T76" s="65"/>
      <c r="U76" s="65"/>
      <c r="V76" s="65"/>
      <c r="W76" s="65"/>
      <c r="X76" s="65"/>
      <c r="Y76" s="65"/>
      <c r="Z76" s="65"/>
      <c r="AA76" s="65">
        <v>45838</v>
      </c>
      <c r="AB76" s="65" t="s">
        <v>618</v>
      </c>
      <c r="AC76" s="65"/>
      <c r="AD76" s="65">
        <v>45808</v>
      </c>
      <c r="AE76" s="65" t="s">
        <v>618</v>
      </c>
      <c r="AF76" s="65"/>
      <c r="AG76" s="65">
        <v>45777</v>
      </c>
      <c r="AH76" s="65" t="s">
        <v>618</v>
      </c>
      <c r="AI76" s="65"/>
      <c r="AJ76" s="65">
        <v>45724</v>
      </c>
      <c r="AK76" s="65" t="s">
        <v>615</v>
      </c>
      <c r="AL76" s="65"/>
      <c r="AM76" s="65">
        <v>45694</v>
      </c>
      <c r="AN76" s="65" t="s">
        <v>618</v>
      </c>
      <c r="AO76" s="65"/>
      <c r="AP76" s="65">
        <v>45666</v>
      </c>
      <c r="AQ76" s="65" t="s">
        <v>615</v>
      </c>
      <c r="AR76" s="65"/>
      <c r="AS76" s="65">
        <v>45636</v>
      </c>
      <c r="AT76" s="65" t="s">
        <v>618</v>
      </c>
      <c r="AU76" s="65"/>
      <c r="AV76" s="65">
        <v>45612</v>
      </c>
      <c r="AW76" s="65" t="s">
        <v>615</v>
      </c>
      <c r="AX76" s="65"/>
      <c r="AY76" s="65">
        <v>45586</v>
      </c>
      <c r="AZ76" s="65" t="s">
        <v>618</v>
      </c>
      <c r="BA76" s="65"/>
      <c r="BB76" s="65">
        <v>45554</v>
      </c>
      <c r="BC76" s="65" t="s">
        <v>618</v>
      </c>
      <c r="BD76" s="65"/>
      <c r="BE76" s="65">
        <v>45523</v>
      </c>
      <c r="BF76" s="65" t="s">
        <v>615</v>
      </c>
      <c r="BG76" s="65"/>
      <c r="BH76" s="65">
        <v>45488</v>
      </c>
      <c r="BI76" s="65" t="s">
        <v>621</v>
      </c>
      <c r="BJ76" s="65" t="s">
        <v>615</v>
      </c>
      <c r="BK76" s="65"/>
      <c r="BL76" s="65"/>
      <c r="BM76" s="65"/>
      <c r="BN76" s="65"/>
      <c r="BO76" s="65"/>
      <c r="BP76" s="65"/>
      <c r="BQ76" s="65">
        <v>45390</v>
      </c>
      <c r="BR76" s="65" t="s">
        <v>629</v>
      </c>
      <c r="BS76" s="65"/>
      <c r="BT76" s="65"/>
      <c r="BU76" s="65"/>
      <c r="BV76" s="65"/>
      <c r="BW76" s="65">
        <v>45334</v>
      </c>
      <c r="BX76" s="65" t="s">
        <v>630</v>
      </c>
      <c r="BY76" s="65"/>
      <c r="BZ76" s="65">
        <v>45309</v>
      </c>
      <c r="CA76" s="65" t="s">
        <v>630</v>
      </c>
      <c r="CB76" s="65"/>
    </row>
    <row r="77" spans="1:80" s="64" customFormat="1" ht="22" customHeight="1" x14ac:dyDescent="0.2">
      <c r="A77" s="53" t="s">
        <v>37</v>
      </c>
      <c r="B77" s="63">
        <f ca="1">TODAY()</f>
        <v>45935</v>
      </c>
      <c r="C77" s="69" t="s">
        <v>594</v>
      </c>
      <c r="D77" s="68" t="s">
        <v>406</v>
      </c>
      <c r="E77" s="126" t="s">
        <v>41</v>
      </c>
      <c r="F77" s="2" t="s">
        <v>113</v>
      </c>
      <c r="G77" s="65">
        <v>45659</v>
      </c>
      <c r="H77" s="65">
        <v>46023</v>
      </c>
      <c r="I77" s="66">
        <f ca="1">(Table26[[#This Row],[Ref Date]]-Table26[[#This Row],[Service Start Date ]])/35</f>
        <v>7.8857142857142861</v>
      </c>
      <c r="J77" s="66">
        <f>COUNTIF(Table26[[#This Row],[2025 October
Actual]:[2024 January 
Done by 2]],"&gt;=" &amp;Table26[[#This Row],[Service Start Date ]])</f>
        <v>7</v>
      </c>
      <c r="K77" s="66">
        <f ca="1">Table26[[#This Row],[Actual Services
to be done]]-Table26[[#This Row],[Completed Services]]</f>
        <v>0.88571428571428612</v>
      </c>
      <c r="L77" s="64" t="s">
        <v>119</v>
      </c>
      <c r="M77" s="67">
        <f ca="1">B77-R77</f>
        <v>13</v>
      </c>
      <c r="N77" s="65">
        <f ca="1">((B77+(-M77+35-10)))</f>
        <v>45947</v>
      </c>
      <c r="O77" s="65"/>
      <c r="P77" s="65"/>
      <c r="Q77" s="65"/>
      <c r="R77" s="65">
        <v>45922</v>
      </c>
      <c r="S77" s="65" t="s">
        <v>620</v>
      </c>
      <c r="T77" s="65"/>
      <c r="U77" s="65"/>
      <c r="V77" s="65"/>
      <c r="W77" s="65"/>
      <c r="X77" s="65">
        <v>45846</v>
      </c>
      <c r="Y77" s="65" t="s">
        <v>618</v>
      </c>
      <c r="Z77" s="65"/>
      <c r="AA77" s="65"/>
      <c r="AB77" s="65"/>
      <c r="AC77" s="65"/>
      <c r="AD77" s="65">
        <v>45804</v>
      </c>
      <c r="AE77" s="65" t="s">
        <v>615</v>
      </c>
      <c r="AF77" s="65"/>
      <c r="AG77" s="65">
        <v>45757</v>
      </c>
      <c r="AH77" s="65" t="s">
        <v>622</v>
      </c>
      <c r="AI77" s="65"/>
      <c r="AJ77" s="65">
        <v>45730</v>
      </c>
      <c r="AK77" s="65" t="s">
        <v>622</v>
      </c>
      <c r="AL77" s="65"/>
      <c r="AM77" s="65">
        <v>45712</v>
      </c>
      <c r="AN77" s="65" t="s">
        <v>622</v>
      </c>
      <c r="AO77" s="65"/>
      <c r="AP77" s="65">
        <v>45687</v>
      </c>
      <c r="AQ77" s="65" t="s">
        <v>622</v>
      </c>
      <c r="AR77" s="65"/>
      <c r="AS77" s="65">
        <v>45650</v>
      </c>
      <c r="AT77" s="65" t="s">
        <v>620</v>
      </c>
      <c r="AU77" s="65"/>
      <c r="AV77" s="65">
        <v>45622</v>
      </c>
      <c r="AW77" s="65" t="s">
        <v>615</v>
      </c>
      <c r="AX77" s="65"/>
      <c r="AY77" s="65">
        <v>45593</v>
      </c>
      <c r="AZ77" s="65" t="s">
        <v>621</v>
      </c>
      <c r="BA77" s="65"/>
      <c r="BB77" s="65">
        <v>45537</v>
      </c>
      <c r="BC77" s="65" t="s">
        <v>615</v>
      </c>
      <c r="BD77" s="65"/>
      <c r="BE77" s="65"/>
      <c r="BF77" s="65"/>
      <c r="BG77" s="65"/>
      <c r="BH77" s="65">
        <v>45483</v>
      </c>
      <c r="BI77" s="65" t="s">
        <v>621</v>
      </c>
      <c r="BJ77" s="65" t="s">
        <v>622</v>
      </c>
      <c r="BK77" s="65"/>
      <c r="BL77" s="65"/>
      <c r="BM77" s="65"/>
      <c r="BN77" s="65"/>
      <c r="BO77" s="65"/>
      <c r="BP77" s="65"/>
      <c r="BQ77" s="65"/>
      <c r="BR77" s="65"/>
      <c r="BS77" s="65"/>
      <c r="BT77" s="65">
        <v>45373</v>
      </c>
      <c r="BU77" s="65" t="s">
        <v>629</v>
      </c>
      <c r="BV77" s="65"/>
      <c r="BW77" s="65">
        <v>45330</v>
      </c>
      <c r="BX77" s="65" t="s">
        <v>629</v>
      </c>
      <c r="BY77" s="65"/>
      <c r="BZ77" s="65"/>
      <c r="CA77" s="65"/>
      <c r="CB77" s="65"/>
    </row>
    <row r="78" spans="1:80" s="64" customFormat="1" ht="22" customHeight="1" x14ac:dyDescent="0.2">
      <c r="A78" s="53" t="s">
        <v>37</v>
      </c>
      <c r="B78" s="63">
        <f ca="1">TODAY()</f>
        <v>45935</v>
      </c>
      <c r="C78" s="69" t="s">
        <v>509</v>
      </c>
      <c r="D78" s="68" t="s">
        <v>398</v>
      </c>
      <c r="E78" s="126" t="s">
        <v>116</v>
      </c>
      <c r="F78" s="2" t="s">
        <v>111</v>
      </c>
      <c r="G78" s="65">
        <v>45779</v>
      </c>
      <c r="H78" s="65">
        <v>46143</v>
      </c>
      <c r="I78" s="66">
        <f ca="1">(Table26[[#This Row],[Ref Date]]-Table26[[#This Row],[Service Start Date ]])/35</f>
        <v>4.4571428571428573</v>
      </c>
      <c r="J78" s="66">
        <f>COUNTIF(Table26[[#This Row],[2025 October
Actual]:[2024 January 
Done by 2]],"&gt;=" &amp;Table26[[#This Row],[Service Start Date ]])</f>
        <v>2</v>
      </c>
      <c r="K78" s="66">
        <f ca="1">Table26[[#This Row],[Actual Services
to be done]]-Table26[[#This Row],[Completed Services]]</f>
        <v>2.4571428571428573</v>
      </c>
      <c r="L78" s="64" t="s">
        <v>119</v>
      </c>
      <c r="M78" s="67">
        <f ca="1">B78-U78</f>
        <v>64</v>
      </c>
      <c r="N78" s="65">
        <f ca="1">((B78+(-M78+35-10)))</f>
        <v>45896</v>
      </c>
      <c r="O78" s="65"/>
      <c r="P78" s="65"/>
      <c r="Q78" s="65"/>
      <c r="R78" s="65"/>
      <c r="S78" s="65"/>
      <c r="T78" s="65"/>
      <c r="U78" s="65">
        <v>45871</v>
      </c>
      <c r="V78" s="65" t="s">
        <v>618</v>
      </c>
      <c r="W78" s="65"/>
      <c r="X78" s="65"/>
      <c r="Y78" s="65"/>
      <c r="Z78" s="65"/>
      <c r="AA78" s="65">
        <v>45815</v>
      </c>
      <c r="AB78" s="65" t="s">
        <v>618</v>
      </c>
      <c r="AC78" s="65"/>
      <c r="AD78" s="65"/>
      <c r="AE78" s="65"/>
      <c r="AF78" s="65"/>
      <c r="AG78" s="65">
        <v>45761</v>
      </c>
      <c r="AH78" s="65" t="s">
        <v>622</v>
      </c>
      <c r="AI78" s="65"/>
      <c r="AJ78" s="65">
        <v>45720</v>
      </c>
      <c r="AK78" s="65" t="s">
        <v>615</v>
      </c>
      <c r="AL78" s="65"/>
      <c r="AM78" s="65">
        <v>45689</v>
      </c>
      <c r="AN78" s="65" t="s">
        <v>615</v>
      </c>
      <c r="AO78" s="65"/>
      <c r="AP78" s="65"/>
      <c r="AQ78" s="65"/>
      <c r="AR78" s="65"/>
      <c r="AS78" s="65">
        <v>45657</v>
      </c>
      <c r="AT78" s="65" t="s">
        <v>622</v>
      </c>
      <c r="AU78" s="65"/>
      <c r="AV78" s="65">
        <v>45614</v>
      </c>
      <c r="AW78" s="65" t="s">
        <v>622</v>
      </c>
      <c r="AX78" s="65"/>
      <c r="AY78" s="65">
        <v>45583</v>
      </c>
      <c r="AZ78" s="95" t="s">
        <v>622</v>
      </c>
      <c r="BA78" s="65"/>
      <c r="BB78" s="65">
        <v>45553</v>
      </c>
      <c r="BC78" s="65" t="s">
        <v>622</v>
      </c>
      <c r="BD78" s="65"/>
      <c r="BE78" s="65">
        <v>45531</v>
      </c>
      <c r="BF78" s="65" t="s">
        <v>618</v>
      </c>
      <c r="BG78" s="65" t="s">
        <v>621</v>
      </c>
      <c r="BH78" s="65">
        <v>45483</v>
      </c>
      <c r="BI78" s="65" t="s">
        <v>621</v>
      </c>
      <c r="BJ78" s="65" t="s">
        <v>622</v>
      </c>
      <c r="BK78" s="65"/>
      <c r="BL78" s="65"/>
      <c r="BM78" s="65"/>
      <c r="BN78" s="65"/>
      <c r="BO78" s="65"/>
      <c r="BP78" s="65"/>
      <c r="BQ78" s="65"/>
      <c r="BR78" s="65"/>
      <c r="BS78" s="65"/>
      <c r="BT78" s="65">
        <v>45364</v>
      </c>
      <c r="BU78" s="65" t="s">
        <v>630</v>
      </c>
      <c r="BV78" s="65"/>
      <c r="BW78" s="65">
        <v>45324</v>
      </c>
      <c r="BX78" s="65" t="s">
        <v>629</v>
      </c>
      <c r="BY78" s="65"/>
      <c r="BZ78" s="65"/>
      <c r="CA78" s="65"/>
      <c r="CB78" s="65"/>
    </row>
    <row r="79" spans="1:80" s="64" customFormat="1" ht="22" customHeight="1" x14ac:dyDescent="0.2">
      <c r="A79" s="53" t="s">
        <v>37</v>
      </c>
      <c r="B79" s="63">
        <f ca="1">TODAY()</f>
        <v>45935</v>
      </c>
      <c r="C79" s="69" t="s">
        <v>424</v>
      </c>
      <c r="D79" s="68" t="s">
        <v>394</v>
      </c>
      <c r="E79" s="64" t="s">
        <v>49</v>
      </c>
      <c r="F79" s="2" t="s">
        <v>111</v>
      </c>
      <c r="G79" s="65">
        <v>45870</v>
      </c>
      <c r="H79" s="65">
        <v>46234</v>
      </c>
      <c r="I79" s="66">
        <f ca="1">(Table26[[#This Row],[Ref Date]]-Table26[[#This Row],[Service Start Date ]])/35</f>
        <v>1.8571428571428572</v>
      </c>
      <c r="J79" s="66">
        <f>COUNTIF(Table26[[#This Row],[2025 October
Actual]:[2024 January 
Done by 2]],"&gt;=" &amp;Table26[[#This Row],[Service Start Date ]])</f>
        <v>1</v>
      </c>
      <c r="K79" s="66">
        <f ca="1">Table26[[#This Row],[Actual Services
to be done]]-Table26[[#This Row],[Completed Services]]</f>
        <v>0.85714285714285721</v>
      </c>
      <c r="L79" s="64" t="s">
        <v>119</v>
      </c>
      <c r="M79" s="67">
        <f ca="1">B79-R79</f>
        <v>12</v>
      </c>
      <c r="N79" s="65">
        <f ca="1">((B79+(-M79+35-10)))</f>
        <v>45948</v>
      </c>
      <c r="O79" s="65"/>
      <c r="P79" s="65"/>
      <c r="Q79" s="65"/>
      <c r="R79" s="65">
        <v>45923</v>
      </c>
      <c r="S79" s="65" t="s">
        <v>615</v>
      </c>
      <c r="T79" s="65"/>
      <c r="U79" s="65"/>
      <c r="V79" s="65"/>
      <c r="W79" s="65"/>
      <c r="X79" s="65"/>
      <c r="Y79" s="65"/>
      <c r="Z79" s="65"/>
      <c r="AA79" s="65">
        <v>45818</v>
      </c>
      <c r="AB79" s="65" t="s">
        <v>615</v>
      </c>
      <c r="AC79" s="65"/>
      <c r="AD79" s="65">
        <v>45785</v>
      </c>
      <c r="AE79" s="65" t="s">
        <v>615</v>
      </c>
      <c r="AF79" s="65"/>
      <c r="AG79" s="65">
        <v>45748</v>
      </c>
      <c r="AH79" s="65" t="s">
        <v>618</v>
      </c>
      <c r="AI79" s="65"/>
      <c r="AJ79" s="65">
        <v>45719</v>
      </c>
      <c r="AK79" s="65" t="s">
        <v>615</v>
      </c>
      <c r="AL79" s="65"/>
      <c r="AM79" s="65">
        <v>45691</v>
      </c>
      <c r="AN79" s="65" t="s">
        <v>615</v>
      </c>
      <c r="AO79" s="65"/>
      <c r="AP79" s="65">
        <v>45659</v>
      </c>
      <c r="AQ79" s="65" t="s">
        <v>615</v>
      </c>
      <c r="AR79" s="65"/>
      <c r="AS79" s="65"/>
      <c r="AT79" s="65"/>
      <c r="AU79" s="65"/>
      <c r="AV79" s="65">
        <v>45625</v>
      </c>
      <c r="AW79" s="65" t="s">
        <v>615</v>
      </c>
      <c r="AX79" s="65"/>
      <c r="AY79" s="65">
        <v>45579</v>
      </c>
      <c r="AZ79" s="65" t="s">
        <v>618</v>
      </c>
      <c r="BA79" s="65"/>
      <c r="BB79" s="65">
        <v>45554</v>
      </c>
      <c r="BC79" s="65" t="s">
        <v>618</v>
      </c>
      <c r="BD79" s="65"/>
      <c r="BE79" s="65">
        <v>45523</v>
      </c>
      <c r="BF79" s="65" t="s">
        <v>615</v>
      </c>
      <c r="BG79" s="65"/>
      <c r="BH79" s="65">
        <v>45488</v>
      </c>
      <c r="BI79" s="65" t="s">
        <v>621</v>
      </c>
      <c r="BJ79" s="65" t="s">
        <v>615</v>
      </c>
      <c r="BK79" s="65"/>
      <c r="BL79" s="65"/>
      <c r="BM79" s="65"/>
      <c r="BN79" s="65"/>
      <c r="BO79" s="65"/>
      <c r="BP79" s="65"/>
      <c r="BQ79" s="65">
        <v>45405</v>
      </c>
      <c r="BR79" s="65" t="s">
        <v>621</v>
      </c>
      <c r="BS79" s="65"/>
      <c r="BT79" s="65">
        <v>45369</v>
      </c>
      <c r="BU79" s="65" t="s">
        <v>629</v>
      </c>
      <c r="BV79" s="65"/>
      <c r="BW79" s="65">
        <v>45328</v>
      </c>
      <c r="BX79" s="65" t="s">
        <v>629</v>
      </c>
      <c r="BY79" s="65"/>
      <c r="BZ79" s="65"/>
      <c r="CA79" s="65"/>
      <c r="CB79" s="65"/>
    </row>
    <row r="80" spans="1:80" s="64" customFormat="1" ht="22" customHeight="1" x14ac:dyDescent="0.2">
      <c r="A80" s="53" t="s">
        <v>37</v>
      </c>
      <c r="B80" s="63">
        <f ca="1">TODAY()</f>
        <v>45935</v>
      </c>
      <c r="C80" s="69" t="s">
        <v>459</v>
      </c>
      <c r="D80" s="68" t="s">
        <v>349</v>
      </c>
      <c r="E80" s="64" t="s">
        <v>109</v>
      </c>
      <c r="F80" s="2" t="s">
        <v>111</v>
      </c>
      <c r="G80" s="65">
        <v>45779</v>
      </c>
      <c r="H80" s="65">
        <v>46143</v>
      </c>
      <c r="I80" s="66">
        <f ca="1">(Table26[[#This Row],[Ref Date]]-Table26[[#This Row],[Service Start Date ]])/35</f>
        <v>4.4571428571428573</v>
      </c>
      <c r="J80" s="66">
        <f>COUNTIF(Table26[[#This Row],[2025 October
Actual]:[2024 January 
Done by 2]],"&gt;=" &amp;Table26[[#This Row],[Service Start Date ]])</f>
        <v>2</v>
      </c>
      <c r="K80" s="66">
        <f ca="1">Table26[[#This Row],[Actual Services
to be done]]-Table26[[#This Row],[Completed Services]]</f>
        <v>2.4571428571428573</v>
      </c>
      <c r="L80" s="64" t="s">
        <v>119</v>
      </c>
      <c r="M80" s="67">
        <f ca="1">B80-R80</f>
        <v>15</v>
      </c>
      <c r="N80" s="65">
        <f ca="1">((B80+(-M80+35-10)))</f>
        <v>45945</v>
      </c>
      <c r="O80" s="65"/>
      <c r="P80" s="65"/>
      <c r="Q80" s="65"/>
      <c r="R80" s="65">
        <v>45920</v>
      </c>
      <c r="S80" s="65" t="s">
        <v>615</v>
      </c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>
        <v>45779</v>
      </c>
      <c r="AE80" s="65" t="s">
        <v>618</v>
      </c>
      <c r="AF80" s="65"/>
      <c r="AG80" s="65"/>
      <c r="AH80" s="65"/>
      <c r="AI80" s="65"/>
      <c r="AJ80" s="65">
        <v>45723</v>
      </c>
      <c r="AK80" s="65" t="s">
        <v>615</v>
      </c>
      <c r="AL80" s="65"/>
      <c r="AM80" s="65">
        <v>45699</v>
      </c>
      <c r="AN80" s="65" t="s">
        <v>615</v>
      </c>
      <c r="AO80" s="65"/>
      <c r="AP80" s="65">
        <v>45661</v>
      </c>
      <c r="AQ80" s="65" t="s">
        <v>615</v>
      </c>
      <c r="AR80" s="65"/>
      <c r="AS80" s="65"/>
      <c r="AT80" s="65"/>
      <c r="AU80" s="65"/>
      <c r="AV80" s="65">
        <v>45618</v>
      </c>
      <c r="AW80" s="65" t="s">
        <v>618</v>
      </c>
      <c r="AX80" s="65"/>
      <c r="AY80" s="65">
        <v>45588</v>
      </c>
      <c r="AZ80" s="65" t="s">
        <v>615</v>
      </c>
      <c r="BA80" s="65"/>
      <c r="BB80" s="65">
        <v>45554</v>
      </c>
      <c r="BC80" s="65" t="s">
        <v>615</v>
      </c>
      <c r="BD80" s="65"/>
      <c r="BE80" s="65"/>
      <c r="BF80" s="65"/>
      <c r="BG80" s="65"/>
      <c r="BH80" s="65">
        <v>45484</v>
      </c>
      <c r="BI80" s="65" t="s">
        <v>621</v>
      </c>
      <c r="BJ80" s="65"/>
      <c r="BK80" s="65"/>
      <c r="BL80" s="65"/>
      <c r="BM80" s="65"/>
      <c r="BN80" s="65"/>
      <c r="BO80" s="65"/>
      <c r="BP80" s="65"/>
      <c r="BQ80" s="65">
        <v>45407</v>
      </c>
      <c r="BR80" s="65" t="s">
        <v>629</v>
      </c>
      <c r="BS80" s="65"/>
      <c r="BT80" s="65"/>
      <c r="BU80" s="65"/>
      <c r="BV80" s="65"/>
      <c r="BW80" s="65">
        <v>45349</v>
      </c>
      <c r="BX80" s="65" t="s">
        <v>626</v>
      </c>
      <c r="BY80" s="65"/>
      <c r="BZ80" s="65">
        <v>45318</v>
      </c>
      <c r="CA80" s="65" t="s">
        <v>629</v>
      </c>
      <c r="CB80" s="65"/>
    </row>
    <row r="81" spans="1:80" s="64" customFormat="1" ht="22" customHeight="1" x14ac:dyDescent="0.2">
      <c r="A81" s="53" t="s">
        <v>37</v>
      </c>
      <c r="B81" s="63">
        <f ca="1">TODAY()</f>
        <v>45935</v>
      </c>
      <c r="C81" s="69" t="s">
        <v>566</v>
      </c>
      <c r="D81" s="68" t="s">
        <v>378</v>
      </c>
      <c r="E81" s="64" t="s">
        <v>117</v>
      </c>
      <c r="F81" s="2" t="s">
        <v>112</v>
      </c>
      <c r="G81" s="65">
        <v>45778</v>
      </c>
      <c r="H81" s="65">
        <v>46143</v>
      </c>
      <c r="I81" s="66">
        <f ca="1">(Table26[[#This Row],[Ref Date]]-Table26[[#This Row],[Service Start Date ]])/35</f>
        <v>4.4857142857142858</v>
      </c>
      <c r="J81" s="66">
        <f>COUNTIF(Table26[[#This Row],[2025 October
Actual]:[2024 January 
Done by 2]],"&gt;=" &amp;Table26[[#This Row],[Service Start Date ]])</f>
        <v>2</v>
      </c>
      <c r="K81" s="66">
        <f ca="1">Table26[[#This Row],[Actual Services
to be done]]-Table26[[#This Row],[Completed Services]]</f>
        <v>2.4857142857142858</v>
      </c>
      <c r="L81" s="64" t="s">
        <v>119</v>
      </c>
      <c r="M81" s="67">
        <f ca="1">B81-O81</f>
        <v>1</v>
      </c>
      <c r="N81" s="65">
        <f ca="1">((B81+(-M81+35-10)))</f>
        <v>45959</v>
      </c>
      <c r="O81" s="65">
        <v>45934</v>
      </c>
      <c r="P81" s="65" t="s">
        <v>615</v>
      </c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>
        <v>45783</v>
      </c>
      <c r="AE81" s="65" t="s">
        <v>615</v>
      </c>
      <c r="AF81" s="65"/>
      <c r="AG81" s="65">
        <v>45749</v>
      </c>
      <c r="AH81" s="65" t="s">
        <v>618</v>
      </c>
      <c r="AI81" s="65"/>
      <c r="AJ81" s="65">
        <v>45719</v>
      </c>
      <c r="AK81" s="65" t="s">
        <v>615</v>
      </c>
      <c r="AL81" s="65"/>
      <c r="AM81" s="65">
        <v>45694</v>
      </c>
      <c r="AN81" s="65" t="s">
        <v>615</v>
      </c>
      <c r="AO81" s="65"/>
      <c r="AP81" s="65">
        <v>45667</v>
      </c>
      <c r="AQ81" s="65" t="s">
        <v>615</v>
      </c>
      <c r="AR81" s="65"/>
      <c r="AS81" s="65">
        <v>45638</v>
      </c>
      <c r="AT81" s="65" t="s">
        <v>615</v>
      </c>
      <c r="AU81" s="65"/>
      <c r="AV81" s="65">
        <v>45611</v>
      </c>
      <c r="AW81" s="65" t="s">
        <v>615</v>
      </c>
      <c r="AX81" s="65"/>
      <c r="AY81" s="65">
        <v>45572</v>
      </c>
      <c r="AZ81" s="65" t="s">
        <v>618</v>
      </c>
      <c r="BA81" s="65"/>
      <c r="BB81" s="65">
        <v>45540</v>
      </c>
      <c r="BC81" s="65" t="s">
        <v>615</v>
      </c>
      <c r="BD81" s="65"/>
      <c r="BE81" s="65"/>
      <c r="BF81" s="65"/>
      <c r="BG81" s="65"/>
      <c r="BH81" s="65">
        <v>45498</v>
      </c>
      <c r="BI81" s="65" t="s">
        <v>622</v>
      </c>
      <c r="BJ81" s="65" t="s">
        <v>615</v>
      </c>
      <c r="BK81" s="65"/>
      <c r="BL81" s="65"/>
      <c r="BM81" s="65"/>
      <c r="BN81" s="65"/>
      <c r="BO81" s="65"/>
      <c r="BP81" s="65"/>
      <c r="BQ81" s="65"/>
      <c r="BR81" s="65"/>
      <c r="BS81" s="65"/>
      <c r="BT81" s="65">
        <v>45371</v>
      </c>
      <c r="BU81" s="65" t="s">
        <v>629</v>
      </c>
      <c r="BV81" s="65"/>
      <c r="BW81" s="65">
        <v>45328</v>
      </c>
      <c r="BX81" s="65" t="s">
        <v>629</v>
      </c>
      <c r="BY81" s="65"/>
      <c r="BZ81" s="65"/>
      <c r="CA81" s="65"/>
      <c r="CB81" s="65"/>
    </row>
    <row r="82" spans="1:80" s="64" customFormat="1" ht="22" customHeight="1" x14ac:dyDescent="0.2">
      <c r="A82" s="53" t="s">
        <v>37</v>
      </c>
      <c r="B82" s="63">
        <f ca="1">TODAY()</f>
        <v>45935</v>
      </c>
      <c r="C82" s="69" t="s">
        <v>487</v>
      </c>
      <c r="D82" s="68" t="s">
        <v>328</v>
      </c>
      <c r="E82" s="64" t="s">
        <v>2</v>
      </c>
      <c r="F82" s="2" t="s">
        <v>112</v>
      </c>
      <c r="G82" s="65">
        <v>45749</v>
      </c>
      <c r="H82" s="65">
        <v>46114</v>
      </c>
      <c r="I82" s="66">
        <f ca="1">(Table26[[#This Row],[Ref Date]]-Table26[[#This Row],[Service Start Date ]])/35</f>
        <v>5.3142857142857141</v>
      </c>
      <c r="J82" s="66">
        <f>COUNTIF(Table26[[#This Row],[2025 October
Actual]:[2024 January 
Done by 2]],"&gt;=" &amp;Table26[[#This Row],[Service Start Date ]])</f>
        <v>3</v>
      </c>
      <c r="K82" s="66">
        <f ca="1">Table26[[#This Row],[Actual Services
to be done]]-Table26[[#This Row],[Completed Services]]</f>
        <v>2.3142857142857141</v>
      </c>
      <c r="L82" s="64" t="s">
        <v>119</v>
      </c>
      <c r="M82" s="67">
        <f ca="1">B82-X82</f>
        <v>85</v>
      </c>
      <c r="N82" s="65">
        <f ca="1">((B82+(-M82+35-10)))</f>
        <v>45875</v>
      </c>
      <c r="O82" s="65"/>
      <c r="P82" s="65"/>
      <c r="Q82" s="65"/>
      <c r="R82" s="65"/>
      <c r="S82" s="65"/>
      <c r="T82" s="65"/>
      <c r="U82" s="65"/>
      <c r="V82" s="65"/>
      <c r="W82" s="65"/>
      <c r="X82" s="65">
        <v>45850</v>
      </c>
      <c r="Y82" s="65" t="s">
        <v>618</v>
      </c>
      <c r="Z82" s="65"/>
      <c r="AA82" s="65"/>
      <c r="AB82" s="65"/>
      <c r="AC82" s="65"/>
      <c r="AD82" s="65">
        <v>45786</v>
      </c>
      <c r="AE82" s="65" t="s">
        <v>622</v>
      </c>
      <c r="AF82" s="65"/>
      <c r="AG82" s="65">
        <v>45751</v>
      </c>
      <c r="AH82" s="65" t="s">
        <v>622</v>
      </c>
      <c r="AI82" s="65"/>
      <c r="AJ82" s="65">
        <v>45727</v>
      </c>
      <c r="AK82" s="65" t="s">
        <v>622</v>
      </c>
      <c r="AL82" s="65"/>
      <c r="AM82" s="65">
        <v>45696</v>
      </c>
      <c r="AN82" s="65" t="s">
        <v>622</v>
      </c>
      <c r="AO82" s="65"/>
      <c r="AP82" s="65">
        <v>45665</v>
      </c>
      <c r="AQ82" s="65" t="s">
        <v>622</v>
      </c>
      <c r="AR82" s="65"/>
      <c r="AS82" s="65">
        <v>45636</v>
      </c>
      <c r="AT82" s="65" t="s">
        <v>615</v>
      </c>
      <c r="AU82" s="65"/>
      <c r="AV82" s="65">
        <v>45609</v>
      </c>
      <c r="AW82" s="65" t="s">
        <v>622</v>
      </c>
      <c r="AX82" s="65"/>
      <c r="AY82" s="65">
        <v>45572</v>
      </c>
      <c r="AZ82" s="95" t="s">
        <v>622</v>
      </c>
      <c r="BA82" s="65"/>
      <c r="BB82" s="65">
        <v>45549</v>
      </c>
      <c r="BC82" s="65" t="s">
        <v>615</v>
      </c>
      <c r="BD82" s="65"/>
      <c r="BE82" s="65">
        <v>45506</v>
      </c>
      <c r="BF82" s="65" t="s">
        <v>622</v>
      </c>
      <c r="BG82" s="65"/>
      <c r="BH82" s="65">
        <v>45504</v>
      </c>
      <c r="BI82" s="65" t="s">
        <v>622</v>
      </c>
      <c r="BJ82" s="65"/>
      <c r="BK82" s="65"/>
      <c r="BL82" s="65"/>
      <c r="BM82" s="65"/>
      <c r="BN82" s="65"/>
      <c r="BO82" s="65"/>
      <c r="BP82" s="65"/>
      <c r="BQ82" s="65">
        <v>45405</v>
      </c>
      <c r="BR82" s="65" t="s">
        <v>629</v>
      </c>
      <c r="BS82" s="65"/>
      <c r="BT82" s="65">
        <v>45357</v>
      </c>
      <c r="BU82" s="65" t="s">
        <v>630</v>
      </c>
      <c r="BV82" s="65"/>
      <c r="BW82" s="65"/>
      <c r="BX82" s="65"/>
      <c r="BY82" s="65"/>
      <c r="BZ82" s="65">
        <v>45321</v>
      </c>
      <c r="CA82" s="65" t="s">
        <v>629</v>
      </c>
      <c r="CB82" s="65"/>
    </row>
    <row r="83" spans="1:80" s="64" customFormat="1" ht="22" customHeight="1" x14ac:dyDescent="0.2">
      <c r="A83" s="53" t="s">
        <v>38</v>
      </c>
      <c r="B83" s="63">
        <f ca="1">TODAY()</f>
        <v>45935</v>
      </c>
      <c r="C83" s="69" t="s">
        <v>574</v>
      </c>
      <c r="D83" s="68" t="s">
        <v>373</v>
      </c>
      <c r="E83" s="64" t="s">
        <v>14</v>
      </c>
      <c r="F83" s="2" t="s">
        <v>112</v>
      </c>
      <c r="G83" s="65">
        <v>45566</v>
      </c>
      <c r="H83" s="65">
        <v>45930</v>
      </c>
      <c r="I83" s="66">
        <v>10</v>
      </c>
      <c r="J83" s="66">
        <f>COUNTIF(Table26[[#This Row],[2025 October
Actual]:[2024 January 
Done by 2]],"&gt;=" &amp;Table26[[#This Row],[Service Start Date ]])</f>
        <v>9</v>
      </c>
      <c r="K83" s="66">
        <f>Table26[[#This Row],[Actual Services
to be done]]-Table26[[#This Row],[Completed Services]]</f>
        <v>1</v>
      </c>
      <c r="L83" s="64" t="s">
        <v>119</v>
      </c>
      <c r="M83" s="67">
        <f ca="1">B83-R83</f>
        <v>17</v>
      </c>
      <c r="N83" s="65">
        <f ca="1">((B83+(-M83+35)))</f>
        <v>45953</v>
      </c>
      <c r="O83" s="65"/>
      <c r="P83" s="65"/>
      <c r="Q83" s="65"/>
      <c r="R83" s="65">
        <v>45918</v>
      </c>
      <c r="S83" s="65" t="s">
        <v>615</v>
      </c>
      <c r="T83" s="65"/>
      <c r="U83" s="65"/>
      <c r="V83" s="65"/>
      <c r="W83" s="65"/>
      <c r="X83" s="65"/>
      <c r="Y83" s="65"/>
      <c r="Z83" s="65"/>
      <c r="AA83" s="65">
        <v>45811</v>
      </c>
      <c r="AB83" s="65" t="s">
        <v>615</v>
      </c>
      <c r="AC83" s="65"/>
      <c r="AD83" s="65"/>
      <c r="AE83" s="65"/>
      <c r="AF83" s="65"/>
      <c r="AG83" s="65">
        <v>45769</v>
      </c>
      <c r="AH83" s="65" t="s">
        <v>622</v>
      </c>
      <c r="AI83" s="65"/>
      <c r="AJ83" s="65">
        <v>45735</v>
      </c>
      <c r="AK83" s="65" t="s">
        <v>618</v>
      </c>
      <c r="AL83" s="65"/>
      <c r="AM83" s="65">
        <v>45710</v>
      </c>
      <c r="AN83" s="65" t="s">
        <v>615</v>
      </c>
      <c r="AO83" s="65"/>
      <c r="AP83" s="65">
        <v>45684</v>
      </c>
      <c r="AQ83" s="65" t="s">
        <v>615</v>
      </c>
      <c r="AR83" s="65"/>
      <c r="AS83" s="65">
        <v>45642</v>
      </c>
      <c r="AT83" s="65" t="s">
        <v>618</v>
      </c>
      <c r="AU83" s="65"/>
      <c r="AV83" s="65">
        <v>45602</v>
      </c>
      <c r="AW83" s="65" t="s">
        <v>615</v>
      </c>
      <c r="AX83" s="65"/>
      <c r="AY83" s="65">
        <v>45569</v>
      </c>
      <c r="AZ83" s="95" t="s">
        <v>622</v>
      </c>
      <c r="BA83" s="65"/>
      <c r="BB83" s="65">
        <v>45549</v>
      </c>
      <c r="BC83" s="65" t="s">
        <v>618</v>
      </c>
      <c r="BD83" s="65"/>
      <c r="BE83" s="65"/>
      <c r="BF83" s="65"/>
      <c r="BG83" s="65"/>
      <c r="BH83" s="65">
        <v>45500</v>
      </c>
      <c r="BI83" s="65" t="s">
        <v>622</v>
      </c>
      <c r="BJ83" s="65" t="s">
        <v>615</v>
      </c>
      <c r="BK83" s="65"/>
      <c r="BL83" s="65"/>
      <c r="BM83" s="65"/>
      <c r="BN83" s="65"/>
      <c r="BO83" s="65"/>
      <c r="BP83" s="65"/>
      <c r="BQ83" s="65">
        <v>45387</v>
      </c>
      <c r="BR83" s="65" t="s">
        <v>629</v>
      </c>
      <c r="BS83" s="65"/>
      <c r="BT83" s="65"/>
      <c r="BU83" s="65"/>
      <c r="BV83" s="65"/>
      <c r="BW83" s="65">
        <v>45345</v>
      </c>
      <c r="BX83" s="65" t="s">
        <v>630</v>
      </c>
      <c r="BY83" s="65"/>
      <c r="BZ83" s="65">
        <v>45310</v>
      </c>
      <c r="CA83" s="65" t="s">
        <v>630</v>
      </c>
      <c r="CB83" s="65"/>
    </row>
    <row r="84" spans="1:80" s="64" customFormat="1" ht="22" customHeight="1" x14ac:dyDescent="0.2">
      <c r="A84" s="53" t="s">
        <v>37</v>
      </c>
      <c r="B84" s="63">
        <f ca="1">TODAY()</f>
        <v>45935</v>
      </c>
      <c r="C84" s="69" t="s">
        <v>432</v>
      </c>
      <c r="D84" s="68" t="s">
        <v>340</v>
      </c>
      <c r="E84" s="64" t="s">
        <v>19</v>
      </c>
      <c r="F84" s="2" t="s">
        <v>112</v>
      </c>
      <c r="G84" s="65">
        <v>45931</v>
      </c>
      <c r="H84" s="65">
        <v>46295</v>
      </c>
      <c r="I84" s="66">
        <f ca="1">(Table26[[#This Row],[Ref Date]]-Table26[[#This Row],[Service Start Date ]])/60</f>
        <v>6.6666666666666666E-2</v>
      </c>
      <c r="J84" s="66">
        <f>COUNTIF(Table26[[#This Row],[2025 October
Actual]:[2024 January 
Done by 2]],"&gt;=" &amp;Table26[[#This Row],[Service Start Date ]])</f>
        <v>0</v>
      </c>
      <c r="K84" s="66">
        <f ca="1">Table26[[#This Row],[Actual Services
to be done]]-Table26[[#This Row],[Completed Services]]</f>
        <v>6.6666666666666666E-2</v>
      </c>
      <c r="L84" s="64" t="s">
        <v>118</v>
      </c>
      <c r="M84" s="67">
        <f ca="1">B84-R84</f>
        <v>19</v>
      </c>
      <c r="N84" s="65">
        <f ca="1">((B84+(-M84+60)))</f>
        <v>45976</v>
      </c>
      <c r="O84" s="65"/>
      <c r="P84" s="65"/>
      <c r="Q84" s="65"/>
      <c r="R84" s="65">
        <v>45916</v>
      </c>
      <c r="S84" s="65" t="s">
        <v>617</v>
      </c>
      <c r="T84" s="65"/>
      <c r="U84" s="65"/>
      <c r="V84" s="65"/>
      <c r="W84" s="65"/>
      <c r="X84" s="65"/>
      <c r="Y84" s="65"/>
      <c r="Z84" s="65"/>
      <c r="AA84" s="65">
        <v>45821</v>
      </c>
      <c r="AB84" s="65" t="s">
        <v>620</v>
      </c>
      <c r="AC84" s="65"/>
      <c r="AD84" s="65">
        <v>45787</v>
      </c>
      <c r="AE84" s="65" t="s">
        <v>622</v>
      </c>
      <c r="AF84" s="65"/>
      <c r="AG84" s="65"/>
      <c r="AH84" s="65"/>
      <c r="AI84" s="65"/>
      <c r="AJ84" s="65">
        <v>45721</v>
      </c>
      <c r="AK84" s="65" t="s">
        <v>622</v>
      </c>
      <c r="AL84" s="65"/>
      <c r="AM84" s="65">
        <v>45691</v>
      </c>
      <c r="AN84" s="65" t="s">
        <v>622</v>
      </c>
      <c r="AO84" s="65"/>
      <c r="AP84" s="65"/>
      <c r="AQ84" s="65"/>
      <c r="AR84" s="65"/>
      <c r="AS84" s="65">
        <v>45632</v>
      </c>
      <c r="AT84" s="65" t="s">
        <v>620</v>
      </c>
      <c r="AU84" s="65"/>
      <c r="AV84" s="65"/>
      <c r="AW84" s="65"/>
      <c r="AX84" s="65"/>
      <c r="AY84" s="65">
        <v>45594</v>
      </c>
      <c r="AZ84" s="65" t="s">
        <v>618</v>
      </c>
      <c r="BA84" s="65"/>
      <c r="BB84" s="65">
        <v>45551</v>
      </c>
      <c r="BC84" s="65" t="s">
        <v>615</v>
      </c>
      <c r="BD84" s="65"/>
      <c r="BE84" s="65"/>
      <c r="BF84" s="65"/>
      <c r="BG84" s="65"/>
      <c r="BH84" s="65">
        <v>45499</v>
      </c>
      <c r="BI84" s="65" t="s">
        <v>622</v>
      </c>
      <c r="BJ84" s="65" t="s">
        <v>615</v>
      </c>
      <c r="BK84" s="65"/>
      <c r="BL84" s="65"/>
      <c r="BM84" s="65"/>
      <c r="BN84" s="65">
        <v>45415</v>
      </c>
      <c r="BO84" s="65" t="s">
        <v>629</v>
      </c>
      <c r="BP84" s="65"/>
      <c r="BQ84" s="65"/>
      <c r="BR84" s="65"/>
      <c r="BS84" s="65"/>
      <c r="BT84" s="65"/>
      <c r="BU84" s="65"/>
      <c r="BV84" s="65"/>
      <c r="BW84" s="65">
        <v>45348</v>
      </c>
      <c r="BX84" s="65" t="s">
        <v>630</v>
      </c>
      <c r="BY84" s="65"/>
      <c r="BZ84" s="65"/>
      <c r="CA84" s="65"/>
      <c r="CB84" s="65"/>
    </row>
    <row r="85" spans="1:80" s="64" customFormat="1" ht="22" customHeight="1" x14ac:dyDescent="0.2">
      <c r="A85" s="53" t="s">
        <v>37</v>
      </c>
      <c r="B85" s="63">
        <f ca="1">TODAY()</f>
        <v>45935</v>
      </c>
      <c r="C85" s="69" t="s">
        <v>433</v>
      </c>
      <c r="D85" s="68" t="s">
        <v>341</v>
      </c>
      <c r="E85" s="64" t="s">
        <v>19</v>
      </c>
      <c r="F85" s="2" t="s">
        <v>112</v>
      </c>
      <c r="G85" s="65">
        <v>45931</v>
      </c>
      <c r="H85" s="65">
        <v>46295</v>
      </c>
      <c r="I85" s="66">
        <f ca="1">(Table26[[#This Row],[Ref Date]]-Table26[[#This Row],[Service Start Date ]])/60</f>
        <v>6.6666666666666666E-2</v>
      </c>
      <c r="J85" s="66">
        <f>COUNTIF(Table26[[#This Row],[2025 October
Actual]:[2024 January 
Done by 2]],"&gt;=" &amp;Table26[[#This Row],[Service Start Date ]])</f>
        <v>0</v>
      </c>
      <c r="K85" s="66">
        <f ca="1">Table26[[#This Row],[Actual Services
to be done]]-Table26[[#This Row],[Completed Services]]</f>
        <v>6.6666666666666666E-2</v>
      </c>
      <c r="L85" s="64" t="s">
        <v>118</v>
      </c>
      <c r="M85" s="67">
        <f ca="1">B85-R85</f>
        <v>19</v>
      </c>
      <c r="N85" s="65">
        <f ca="1">((B85+(-M85+60)))</f>
        <v>45976</v>
      </c>
      <c r="O85" s="65"/>
      <c r="P85" s="65"/>
      <c r="Q85" s="65"/>
      <c r="R85" s="65">
        <v>45916</v>
      </c>
      <c r="S85" s="65" t="s">
        <v>617</v>
      </c>
      <c r="T85" s="65"/>
      <c r="U85" s="65"/>
      <c r="V85" s="65"/>
      <c r="W85" s="65"/>
      <c r="X85" s="65"/>
      <c r="Y85" s="65"/>
      <c r="Z85" s="65"/>
      <c r="AA85" s="65">
        <v>45821</v>
      </c>
      <c r="AB85" s="65" t="s">
        <v>620</v>
      </c>
      <c r="AC85" s="65"/>
      <c r="AD85" s="65">
        <v>45787</v>
      </c>
      <c r="AE85" s="65" t="s">
        <v>622</v>
      </c>
      <c r="AF85" s="65"/>
      <c r="AG85" s="65"/>
      <c r="AH85" s="65"/>
      <c r="AI85" s="65"/>
      <c r="AJ85" s="65">
        <v>45721</v>
      </c>
      <c r="AK85" s="65" t="s">
        <v>622</v>
      </c>
      <c r="AL85" s="65"/>
      <c r="AM85" s="65">
        <v>45691</v>
      </c>
      <c r="AN85" s="65" t="s">
        <v>622</v>
      </c>
      <c r="AO85" s="65"/>
      <c r="AP85" s="65"/>
      <c r="AQ85" s="65"/>
      <c r="AR85" s="65"/>
      <c r="AS85" s="65">
        <v>45632</v>
      </c>
      <c r="AT85" s="65" t="s">
        <v>620</v>
      </c>
      <c r="AU85" s="65"/>
      <c r="AV85" s="65"/>
      <c r="AW85" s="65"/>
      <c r="AX85" s="65"/>
      <c r="AY85" s="65">
        <v>45594</v>
      </c>
      <c r="AZ85" s="65" t="s">
        <v>618</v>
      </c>
      <c r="BA85" s="65"/>
      <c r="BB85" s="65">
        <v>45551</v>
      </c>
      <c r="BC85" s="65" t="s">
        <v>615</v>
      </c>
      <c r="BD85" s="65"/>
      <c r="BE85" s="65"/>
      <c r="BF85" s="65"/>
      <c r="BG85" s="65"/>
      <c r="BH85" s="65">
        <v>45499</v>
      </c>
      <c r="BI85" s="65" t="s">
        <v>622</v>
      </c>
      <c r="BJ85" s="65" t="s">
        <v>615</v>
      </c>
      <c r="BK85" s="65"/>
      <c r="BL85" s="65"/>
      <c r="BM85" s="65"/>
      <c r="BN85" s="65">
        <v>45415</v>
      </c>
      <c r="BO85" s="65" t="s">
        <v>629</v>
      </c>
      <c r="BP85" s="65"/>
      <c r="BQ85" s="65"/>
      <c r="BR85" s="65"/>
      <c r="BS85" s="65"/>
      <c r="BT85" s="65"/>
      <c r="BU85" s="65"/>
      <c r="BV85" s="65"/>
      <c r="BW85" s="65">
        <v>45348</v>
      </c>
      <c r="BX85" s="65" t="s">
        <v>630</v>
      </c>
      <c r="BY85" s="65"/>
      <c r="BZ85" s="65"/>
      <c r="CA85" s="65"/>
      <c r="CB85" s="65"/>
    </row>
    <row r="86" spans="1:80" s="64" customFormat="1" ht="22" customHeight="1" x14ac:dyDescent="0.2">
      <c r="A86" s="53" t="s">
        <v>37</v>
      </c>
      <c r="B86" s="63">
        <f ca="1">TODAY()</f>
        <v>45935</v>
      </c>
      <c r="C86" s="69" t="s">
        <v>434</v>
      </c>
      <c r="D86" s="68" t="s">
        <v>342</v>
      </c>
      <c r="E86" s="64" t="s">
        <v>19</v>
      </c>
      <c r="F86" s="2" t="s">
        <v>112</v>
      </c>
      <c r="G86" s="65">
        <v>45931</v>
      </c>
      <c r="H86" s="65">
        <v>46295</v>
      </c>
      <c r="I86" s="66">
        <f ca="1">(Table26[[#This Row],[Ref Date]]-Table26[[#This Row],[Service Start Date ]])/60</f>
        <v>6.6666666666666666E-2</v>
      </c>
      <c r="J86" s="66">
        <f>COUNTIF(Table26[[#This Row],[2025 October
Actual]:[2024 January 
Done by 2]],"&gt;=" &amp;Table26[[#This Row],[Service Start Date ]])</f>
        <v>0</v>
      </c>
      <c r="K86" s="66">
        <f ca="1">Table26[[#This Row],[Actual Services
to be done]]-Table26[[#This Row],[Completed Services]]</f>
        <v>6.6666666666666666E-2</v>
      </c>
      <c r="L86" s="64" t="s">
        <v>118</v>
      </c>
      <c r="M86" s="67">
        <f ca="1">B86-R86</f>
        <v>10</v>
      </c>
      <c r="N86" s="65">
        <f ca="1">((B86+(-M86+60)))</f>
        <v>45985</v>
      </c>
      <c r="O86" s="65"/>
      <c r="P86" s="65"/>
      <c r="Q86" s="65"/>
      <c r="R86" s="65">
        <v>45925</v>
      </c>
      <c r="S86" s="65" t="s">
        <v>620</v>
      </c>
      <c r="T86" s="65"/>
      <c r="U86" s="65"/>
      <c r="V86" s="65"/>
      <c r="W86" s="65"/>
      <c r="X86" s="65"/>
      <c r="Y86" s="65"/>
      <c r="Z86" s="65"/>
      <c r="AA86" s="65">
        <v>45821</v>
      </c>
      <c r="AB86" s="65" t="s">
        <v>620</v>
      </c>
      <c r="AC86" s="65"/>
      <c r="AD86" s="65">
        <v>45787</v>
      </c>
      <c r="AE86" s="65" t="s">
        <v>622</v>
      </c>
      <c r="AF86" s="65"/>
      <c r="AG86" s="65"/>
      <c r="AH86" s="65"/>
      <c r="AI86" s="65"/>
      <c r="AJ86" s="65">
        <v>45721</v>
      </c>
      <c r="AK86" s="65" t="s">
        <v>622</v>
      </c>
      <c r="AL86" s="65"/>
      <c r="AM86" s="65">
        <v>45691</v>
      </c>
      <c r="AN86" s="65" t="s">
        <v>622</v>
      </c>
      <c r="AO86" s="65"/>
      <c r="AP86" s="65"/>
      <c r="AQ86" s="65"/>
      <c r="AR86" s="65"/>
      <c r="AS86" s="65">
        <v>45632</v>
      </c>
      <c r="AT86" s="65" t="s">
        <v>620</v>
      </c>
      <c r="AU86" s="65"/>
      <c r="AV86" s="65"/>
      <c r="AW86" s="65"/>
      <c r="AX86" s="65"/>
      <c r="AY86" s="65">
        <v>45594</v>
      </c>
      <c r="AZ86" s="65" t="s">
        <v>618</v>
      </c>
      <c r="BA86" s="65"/>
      <c r="BB86" s="65">
        <v>45551</v>
      </c>
      <c r="BC86" s="65" t="s">
        <v>615</v>
      </c>
      <c r="BD86" s="65"/>
      <c r="BE86" s="65"/>
      <c r="BF86" s="65"/>
      <c r="BG86" s="65"/>
      <c r="BH86" s="65">
        <v>45499</v>
      </c>
      <c r="BI86" s="65" t="s">
        <v>622</v>
      </c>
      <c r="BJ86" s="65" t="s">
        <v>615</v>
      </c>
      <c r="BK86" s="65"/>
      <c r="BL86" s="65"/>
      <c r="BM86" s="65"/>
      <c r="BN86" s="65">
        <v>45415</v>
      </c>
      <c r="BO86" s="65" t="s">
        <v>629</v>
      </c>
      <c r="BP86" s="65"/>
      <c r="BQ86" s="65"/>
      <c r="BR86" s="65"/>
      <c r="BS86" s="65"/>
      <c r="BT86" s="65"/>
      <c r="BU86" s="65"/>
      <c r="BV86" s="65"/>
      <c r="BW86" s="65">
        <v>45348</v>
      </c>
      <c r="BX86" s="65" t="s">
        <v>630</v>
      </c>
      <c r="BY86" s="65"/>
      <c r="BZ86" s="65"/>
      <c r="CA86" s="65"/>
      <c r="CB86" s="65"/>
    </row>
    <row r="87" spans="1:80" s="64" customFormat="1" ht="22" customHeight="1" x14ac:dyDescent="0.2">
      <c r="A87" s="53" t="s">
        <v>37</v>
      </c>
      <c r="B87" s="63">
        <f ca="1">TODAY()</f>
        <v>45935</v>
      </c>
      <c r="C87" s="69" t="s">
        <v>584</v>
      </c>
      <c r="D87" s="68" t="s">
        <v>405</v>
      </c>
      <c r="E87" s="70" t="s">
        <v>3</v>
      </c>
      <c r="F87" s="2" t="s">
        <v>113</v>
      </c>
      <c r="G87" s="65">
        <v>45659</v>
      </c>
      <c r="H87" s="65">
        <v>46023</v>
      </c>
      <c r="I87" s="66">
        <f ca="1">(Table26[[#This Row],[Ref Date]]-Table26[[#This Row],[Service Start Date ]])/35</f>
        <v>7.8857142857142861</v>
      </c>
      <c r="J87" s="66">
        <f>COUNTIF(Table26[[#This Row],[2025 October
Actual]:[2024 January 
Done by 2]],"&gt;=" &amp;Table26[[#This Row],[Service Start Date ]])</f>
        <v>7</v>
      </c>
      <c r="K87" s="66">
        <f ca="1">Table26[[#This Row],[Actual Services
to be done]]-Table26[[#This Row],[Completed Services]]</f>
        <v>0.88571428571428612</v>
      </c>
      <c r="L87" s="64" t="s">
        <v>119</v>
      </c>
      <c r="M87" s="67">
        <f ca="1">B87-R87</f>
        <v>6</v>
      </c>
      <c r="N87" s="65">
        <f ca="1">((B87+(-M87+35-10)))</f>
        <v>45954</v>
      </c>
      <c r="O87" s="65"/>
      <c r="P87" s="65"/>
      <c r="Q87" s="65"/>
      <c r="R87" s="65">
        <v>45929</v>
      </c>
      <c r="S87" s="65" t="s">
        <v>617</v>
      </c>
      <c r="T87" s="65"/>
      <c r="U87" s="65">
        <v>45899</v>
      </c>
      <c r="V87" s="65" t="s">
        <v>617</v>
      </c>
      <c r="W87" s="65" t="s">
        <v>213</v>
      </c>
      <c r="X87" s="65"/>
      <c r="Y87" s="65"/>
      <c r="Z87" s="65"/>
      <c r="AA87" s="65">
        <v>45814</v>
      </c>
      <c r="AB87" s="65" t="s">
        <v>615</v>
      </c>
      <c r="AC87" s="65"/>
      <c r="AD87" s="65"/>
      <c r="AE87" s="65"/>
      <c r="AF87" s="65"/>
      <c r="AG87" s="65">
        <v>45757</v>
      </c>
      <c r="AH87" s="65" t="s">
        <v>622</v>
      </c>
      <c r="AI87" s="65"/>
      <c r="AJ87" s="65">
        <v>45729</v>
      </c>
      <c r="AK87" s="65" t="s">
        <v>622</v>
      </c>
      <c r="AL87" s="65"/>
      <c r="AM87" s="65"/>
      <c r="AN87" s="65"/>
      <c r="AO87" s="65"/>
      <c r="AP87" s="65">
        <v>45686</v>
      </c>
      <c r="AQ87" s="65" t="s">
        <v>618</v>
      </c>
      <c r="AR87" s="65"/>
      <c r="AS87" s="65">
        <v>45666</v>
      </c>
      <c r="AT87" s="65" t="s">
        <v>622</v>
      </c>
      <c r="AU87" s="65"/>
      <c r="AV87" s="65">
        <v>45617</v>
      </c>
      <c r="AW87" s="65" t="s">
        <v>620</v>
      </c>
      <c r="AX87" s="65"/>
      <c r="AY87" s="65">
        <v>45588</v>
      </c>
      <c r="AZ87" s="65" t="s">
        <v>618</v>
      </c>
      <c r="BA87" s="65"/>
      <c r="BB87" s="65">
        <v>45560</v>
      </c>
      <c r="BC87" s="65" t="s">
        <v>615</v>
      </c>
      <c r="BD87" s="65"/>
      <c r="BE87" s="65">
        <v>45534</v>
      </c>
      <c r="BF87" s="65" t="s">
        <v>615</v>
      </c>
      <c r="BG87" s="65"/>
      <c r="BH87" s="65">
        <v>45499</v>
      </c>
      <c r="BI87" s="65" t="s">
        <v>622</v>
      </c>
      <c r="BJ87" s="65" t="s">
        <v>615</v>
      </c>
      <c r="BK87" s="65"/>
      <c r="BL87" s="65"/>
      <c r="BM87" s="65"/>
      <c r="BN87" s="65"/>
      <c r="BO87" s="65"/>
      <c r="BP87" s="65"/>
      <c r="BQ87" s="65"/>
      <c r="BR87" s="65"/>
      <c r="BS87" s="65"/>
      <c r="BT87" s="65">
        <v>45376</v>
      </c>
      <c r="BU87" s="65" t="s">
        <v>629</v>
      </c>
      <c r="BV87" s="65"/>
      <c r="BW87" s="65">
        <v>45339</v>
      </c>
      <c r="BX87" s="65" t="s">
        <v>630</v>
      </c>
      <c r="BY87" s="65" t="s">
        <v>631</v>
      </c>
      <c r="BZ87" s="65"/>
      <c r="CA87" s="65"/>
      <c r="CB87" s="65"/>
    </row>
    <row r="88" spans="1:80" s="64" customFormat="1" ht="22" customHeight="1" x14ac:dyDescent="0.2">
      <c r="A88" s="53" t="s">
        <v>37</v>
      </c>
      <c r="B88" s="63">
        <f ca="1">TODAY()</f>
        <v>45935</v>
      </c>
      <c r="C88" s="69" t="s">
        <v>544</v>
      </c>
      <c r="D88" s="68" t="s">
        <v>316</v>
      </c>
      <c r="E88" s="64" t="s">
        <v>8</v>
      </c>
      <c r="F88" s="2" t="s">
        <v>112</v>
      </c>
      <c r="G88" s="65">
        <v>45749</v>
      </c>
      <c r="H88" s="65">
        <v>46113</v>
      </c>
      <c r="I88" s="66">
        <f ca="1">(Table26[[#This Row],[Ref Date]]-Table26[[#This Row],[Service Start Date ]])/35</f>
        <v>5.3142857142857141</v>
      </c>
      <c r="J88" s="66">
        <f>COUNTIF(Table26[[#This Row],[2025 October
Actual]:[2024 January 
Done by 2]],"&gt;=" &amp;Table26[[#This Row],[Service Start Date ]])</f>
        <v>3</v>
      </c>
      <c r="K88" s="66">
        <f ca="1">Table26[[#This Row],[Actual Services
to be done]]-Table26[[#This Row],[Completed Services]]</f>
        <v>2.3142857142857141</v>
      </c>
      <c r="L88" s="64" t="s">
        <v>119</v>
      </c>
      <c r="M88" s="67">
        <f ca="1">B88-R88</f>
        <v>12</v>
      </c>
      <c r="N88" s="65">
        <f ca="1">((B88+(-M88+35-10)))</f>
        <v>45948</v>
      </c>
      <c r="O88" s="65"/>
      <c r="P88" s="65"/>
      <c r="Q88" s="65"/>
      <c r="R88" s="65">
        <v>45923</v>
      </c>
      <c r="S88" s="65" t="s">
        <v>615</v>
      </c>
      <c r="T88" s="65"/>
      <c r="U88" s="65"/>
      <c r="V88" s="65"/>
      <c r="W88" s="65"/>
      <c r="X88" s="65"/>
      <c r="Y88" s="65"/>
      <c r="Z88" s="65"/>
      <c r="AA88" s="65">
        <v>45812</v>
      </c>
      <c r="AB88" s="65" t="s">
        <v>618</v>
      </c>
      <c r="AC88" s="65"/>
      <c r="AD88" s="65"/>
      <c r="AE88" s="65"/>
      <c r="AF88" s="65"/>
      <c r="AG88" s="65">
        <v>45769</v>
      </c>
      <c r="AH88" s="65" t="s">
        <v>622</v>
      </c>
      <c r="AI88" s="65"/>
      <c r="AJ88" s="65"/>
      <c r="AK88" s="65"/>
      <c r="AL88" s="65"/>
      <c r="AM88" s="65">
        <v>45706</v>
      </c>
      <c r="AN88" s="65" t="s">
        <v>615</v>
      </c>
      <c r="AO88" s="65"/>
      <c r="AP88" s="65">
        <v>45659</v>
      </c>
      <c r="AQ88" s="65" t="s">
        <v>622</v>
      </c>
      <c r="AR88" s="65"/>
      <c r="AS88" s="65"/>
      <c r="AT88" s="65"/>
      <c r="AU88" s="65"/>
      <c r="AV88" s="65">
        <v>45601</v>
      </c>
      <c r="AW88" s="65" t="s">
        <v>622</v>
      </c>
      <c r="AX88" s="65"/>
      <c r="AY88" s="65"/>
      <c r="AZ88" s="65"/>
      <c r="BA88" s="65"/>
      <c r="BB88" s="65">
        <v>45553</v>
      </c>
      <c r="BC88" s="65" t="s">
        <v>622</v>
      </c>
      <c r="BD88" s="65"/>
      <c r="BE88" s="65"/>
      <c r="BF88" s="65"/>
      <c r="BG88" s="65"/>
      <c r="BH88" s="65">
        <v>45500</v>
      </c>
      <c r="BI88" s="65" t="s">
        <v>622</v>
      </c>
      <c r="BJ88" s="65" t="s">
        <v>615</v>
      </c>
      <c r="BK88" s="65"/>
      <c r="BL88" s="65"/>
      <c r="BM88" s="65"/>
      <c r="BN88" s="65">
        <v>45429</v>
      </c>
      <c r="BO88" s="65" t="s">
        <v>626</v>
      </c>
      <c r="BP88" s="65"/>
      <c r="BQ88" s="65"/>
      <c r="BR88" s="65"/>
      <c r="BS88" s="65"/>
      <c r="BT88" s="65"/>
      <c r="BU88" s="65"/>
      <c r="BV88" s="65"/>
      <c r="BW88" s="65">
        <v>45331</v>
      </c>
      <c r="BX88" s="65" t="s">
        <v>629</v>
      </c>
      <c r="BY88" s="65"/>
      <c r="BZ88" s="65">
        <v>45295</v>
      </c>
      <c r="CA88" s="65" t="s">
        <v>630</v>
      </c>
      <c r="CB88" s="65"/>
    </row>
    <row r="89" spans="1:80" s="64" customFormat="1" ht="22" customHeight="1" x14ac:dyDescent="0.2">
      <c r="A89" s="53" t="s">
        <v>38</v>
      </c>
      <c r="B89" s="63">
        <f ca="1">TODAY()</f>
        <v>45935</v>
      </c>
      <c r="C89" s="69" t="s">
        <v>592</v>
      </c>
      <c r="D89" s="68" t="s">
        <v>246</v>
      </c>
      <c r="E89" s="126" t="s">
        <v>142</v>
      </c>
      <c r="F89" s="2" t="s">
        <v>112</v>
      </c>
      <c r="G89" s="65">
        <v>45474</v>
      </c>
      <c r="H89" s="65">
        <v>45838</v>
      </c>
      <c r="I89" s="66">
        <v>10</v>
      </c>
      <c r="J89" s="66">
        <f>COUNTIF(Table26[[#This Row],[2025 October
Actual]:[2024 January 
Done by 2]],"&gt;=" &amp;Table26[[#This Row],[Service Start Date ]])</f>
        <v>12</v>
      </c>
      <c r="K89" s="66">
        <f>Table26[[#This Row],[Actual Services
to be done]]-Table26[[#This Row],[Completed Services]]</f>
        <v>-2</v>
      </c>
      <c r="L89" s="64" t="s">
        <v>119</v>
      </c>
      <c r="M89" s="67">
        <f ca="1">B89-O89</f>
        <v>2</v>
      </c>
      <c r="N89" s="65">
        <f ca="1">((B89+(-M89+35+10)))</f>
        <v>45978</v>
      </c>
      <c r="O89" s="65">
        <v>45933</v>
      </c>
      <c r="P89" s="65" t="s">
        <v>618</v>
      </c>
      <c r="Q89" s="65"/>
      <c r="R89" s="65"/>
      <c r="S89" s="65"/>
      <c r="T89" s="65"/>
      <c r="U89" s="65"/>
      <c r="V89" s="65"/>
      <c r="W89" s="65"/>
      <c r="X89" s="65">
        <v>45841</v>
      </c>
      <c r="Y89" s="65" t="s">
        <v>618</v>
      </c>
      <c r="Z89" s="65"/>
      <c r="AA89" s="65"/>
      <c r="AB89" s="65"/>
      <c r="AC89" s="65"/>
      <c r="AD89" s="65">
        <v>45797</v>
      </c>
      <c r="AE89" s="65" t="s">
        <v>615</v>
      </c>
      <c r="AF89" s="65"/>
      <c r="AG89" s="65">
        <v>45764</v>
      </c>
      <c r="AH89" s="65" t="s">
        <v>615</v>
      </c>
      <c r="AI89" s="65"/>
      <c r="AJ89" s="65">
        <v>45729</v>
      </c>
      <c r="AK89" s="65" t="s">
        <v>615</v>
      </c>
      <c r="AL89" s="65"/>
      <c r="AM89" s="65">
        <v>45710</v>
      </c>
      <c r="AN89" s="65" t="s">
        <v>615</v>
      </c>
      <c r="AO89" s="65"/>
      <c r="AP89" s="65">
        <v>45685</v>
      </c>
      <c r="AQ89" s="65" t="s">
        <v>615</v>
      </c>
      <c r="AR89" s="65"/>
      <c r="AS89" s="65">
        <v>45645</v>
      </c>
      <c r="AT89" s="65" t="s">
        <v>615</v>
      </c>
      <c r="AU89" s="65"/>
      <c r="AV89" s="65">
        <v>45615</v>
      </c>
      <c r="AW89" s="65" t="s">
        <v>615</v>
      </c>
      <c r="AX89" s="65"/>
      <c r="AY89" s="65">
        <v>45584</v>
      </c>
      <c r="AZ89" s="65" t="s">
        <v>615</v>
      </c>
      <c r="BA89" s="65"/>
      <c r="BB89" s="65">
        <v>45549</v>
      </c>
      <c r="BC89" s="65" t="s">
        <v>618</v>
      </c>
      <c r="BD89" s="65"/>
      <c r="BE89" s="65">
        <v>45517</v>
      </c>
      <c r="BF89" s="65" t="s">
        <v>615</v>
      </c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</row>
    <row r="90" spans="1:80" s="64" customFormat="1" ht="22" customHeight="1" x14ac:dyDescent="0.2">
      <c r="A90" s="53" t="s">
        <v>37</v>
      </c>
      <c r="B90" s="63">
        <f ca="1">TODAY()</f>
        <v>45935</v>
      </c>
      <c r="C90" s="69" t="s">
        <v>485</v>
      </c>
      <c r="D90" s="68" t="s">
        <v>318</v>
      </c>
      <c r="E90" s="77" t="s">
        <v>107</v>
      </c>
      <c r="F90" s="2" t="s">
        <v>111</v>
      </c>
      <c r="G90" s="65">
        <v>45577</v>
      </c>
      <c r="H90" s="65">
        <v>45941</v>
      </c>
      <c r="I90" s="66">
        <f ca="1">(Table26[[#This Row],[Ref Date]]-Table26[[#This Row],[Service Start Date ]])/35</f>
        <v>10.228571428571428</v>
      </c>
      <c r="J90" s="66">
        <f>COUNTIF(Table26[[#This Row],[2025 October
Actual]:[2024 January 
Done by 2]],"&gt;=" &amp;Table26[[#This Row],[Service Start Date ]])</f>
        <v>8</v>
      </c>
      <c r="K90" s="66">
        <f ca="1">Table26[[#This Row],[Actual Services
to be done]]-Table26[[#This Row],[Completed Services]]</f>
        <v>2.2285714285714278</v>
      </c>
      <c r="L90" s="64" t="s">
        <v>119</v>
      </c>
      <c r="M90" s="67">
        <f ca="1">B90-R90</f>
        <v>16</v>
      </c>
      <c r="N90" s="65">
        <f ca="1">((B90+(-M90+35-10)))</f>
        <v>45944</v>
      </c>
      <c r="O90" s="65"/>
      <c r="P90" s="65"/>
      <c r="Q90" s="65"/>
      <c r="R90" s="65">
        <v>45919</v>
      </c>
      <c r="S90" s="65" t="s">
        <v>615</v>
      </c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>
        <v>45807</v>
      </c>
      <c r="AE90" s="65" t="s">
        <v>615</v>
      </c>
      <c r="AF90" s="65"/>
      <c r="AG90" s="65">
        <v>45777</v>
      </c>
      <c r="AH90" s="65" t="s">
        <v>615</v>
      </c>
      <c r="AI90" s="65"/>
      <c r="AJ90" s="65">
        <v>45735</v>
      </c>
      <c r="AK90" s="65" t="s">
        <v>615</v>
      </c>
      <c r="AL90" s="65"/>
      <c r="AM90" s="65">
        <v>45700</v>
      </c>
      <c r="AN90" s="65" t="s">
        <v>615</v>
      </c>
      <c r="AO90" s="65"/>
      <c r="AP90" s="65">
        <v>45668</v>
      </c>
      <c r="AQ90" s="65" t="s">
        <v>615</v>
      </c>
      <c r="AR90" s="65"/>
      <c r="AS90" s="65">
        <v>45637</v>
      </c>
      <c r="AT90" s="65" t="s">
        <v>615</v>
      </c>
      <c r="AU90" s="65" t="s">
        <v>623</v>
      </c>
      <c r="AV90" s="65">
        <v>45611</v>
      </c>
      <c r="AW90" s="65" t="s">
        <v>615</v>
      </c>
      <c r="AX90" s="65"/>
      <c r="AY90" s="65">
        <v>45570</v>
      </c>
      <c r="AZ90" s="65" t="s">
        <v>618</v>
      </c>
      <c r="BA90" s="65"/>
      <c r="BB90" s="65">
        <v>45546</v>
      </c>
      <c r="BC90" s="65" t="s">
        <v>615</v>
      </c>
      <c r="BD90" s="65"/>
      <c r="BE90" s="65">
        <v>45506</v>
      </c>
      <c r="BF90" s="65" t="s">
        <v>615</v>
      </c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>
        <v>45398</v>
      </c>
      <c r="BR90" s="65" t="s">
        <v>629</v>
      </c>
      <c r="BS90" s="65"/>
      <c r="BT90" s="65"/>
      <c r="BU90" s="65"/>
      <c r="BV90" s="65"/>
      <c r="BW90" s="65">
        <v>45351</v>
      </c>
      <c r="BX90" s="65" t="s">
        <v>631</v>
      </c>
      <c r="BY90" s="65"/>
      <c r="BZ90" s="65">
        <v>45311</v>
      </c>
      <c r="CA90" s="65" t="s">
        <v>629</v>
      </c>
      <c r="CB90" s="65"/>
    </row>
    <row r="91" spans="1:80" s="64" customFormat="1" ht="22" customHeight="1" x14ac:dyDescent="0.2">
      <c r="A91" s="53" t="s">
        <v>37</v>
      </c>
      <c r="B91" s="63">
        <f ca="1">TODAY()</f>
        <v>45935</v>
      </c>
      <c r="C91" s="69" t="s">
        <v>486</v>
      </c>
      <c r="D91" s="68" t="s">
        <v>319</v>
      </c>
      <c r="E91" s="77" t="s">
        <v>107</v>
      </c>
      <c r="F91" s="2" t="s">
        <v>111</v>
      </c>
      <c r="G91" s="65">
        <v>45674</v>
      </c>
      <c r="H91" s="65">
        <v>46038</v>
      </c>
      <c r="I91" s="66">
        <f ca="1">(Table26[[#This Row],[Ref Date]]-Table26[[#This Row],[Service Start Date ]])/35</f>
        <v>7.4571428571428573</v>
      </c>
      <c r="J91" s="66">
        <f>COUNTIF(Table26[[#This Row],[2025 October
Actual]:[2024 January 
Done by 2]],"&gt;=" &amp;Table26[[#This Row],[Service Start Date ]])</f>
        <v>5</v>
      </c>
      <c r="K91" s="66">
        <f ca="1">Table26[[#This Row],[Actual Services
to be done]]-Table26[[#This Row],[Completed Services]]</f>
        <v>2.4571428571428573</v>
      </c>
      <c r="L91" s="64" t="s">
        <v>119</v>
      </c>
      <c r="M91" s="67">
        <f ca="1">B91-R91</f>
        <v>16</v>
      </c>
      <c r="N91" s="65">
        <f ca="1">((B91+(-M91+35-10)))</f>
        <v>45944</v>
      </c>
      <c r="O91" s="65"/>
      <c r="P91" s="65"/>
      <c r="Q91" s="65"/>
      <c r="R91" s="65">
        <v>45919</v>
      </c>
      <c r="S91" s="65" t="s">
        <v>615</v>
      </c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>
        <v>45807</v>
      </c>
      <c r="AE91" s="65" t="s">
        <v>615</v>
      </c>
      <c r="AF91" s="65"/>
      <c r="AG91" s="65">
        <v>45777</v>
      </c>
      <c r="AH91" s="65" t="s">
        <v>615</v>
      </c>
      <c r="AI91" s="65"/>
      <c r="AJ91" s="65">
        <v>45735</v>
      </c>
      <c r="AK91" s="65" t="s">
        <v>615</v>
      </c>
      <c r="AL91" s="65"/>
      <c r="AM91" s="65">
        <v>45700</v>
      </c>
      <c r="AN91" s="65" t="s">
        <v>615</v>
      </c>
      <c r="AO91" s="65"/>
      <c r="AP91" s="65">
        <v>45668</v>
      </c>
      <c r="AQ91" s="65" t="s">
        <v>615</v>
      </c>
      <c r="AR91" s="65"/>
      <c r="AS91" s="65">
        <v>45637</v>
      </c>
      <c r="AT91" s="65" t="s">
        <v>615</v>
      </c>
      <c r="AU91" s="65" t="s">
        <v>623</v>
      </c>
      <c r="AV91" s="65">
        <v>45611</v>
      </c>
      <c r="AW91" s="65" t="s">
        <v>615</v>
      </c>
      <c r="AX91" s="65"/>
      <c r="AY91" s="65">
        <v>45570</v>
      </c>
      <c r="AZ91" s="65" t="s">
        <v>618</v>
      </c>
      <c r="BA91" s="65"/>
      <c r="BB91" s="65">
        <v>45546</v>
      </c>
      <c r="BC91" s="65" t="s">
        <v>615</v>
      </c>
      <c r="BD91" s="65"/>
      <c r="BE91" s="65">
        <v>45506</v>
      </c>
      <c r="BF91" s="65" t="s">
        <v>615</v>
      </c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>
        <v>45398</v>
      </c>
      <c r="BR91" s="65" t="s">
        <v>629</v>
      </c>
      <c r="BS91" s="65"/>
      <c r="BT91" s="65"/>
      <c r="BU91" s="65"/>
      <c r="BV91" s="65"/>
      <c r="BW91" s="65">
        <v>45351</v>
      </c>
      <c r="BX91" s="65" t="s">
        <v>631</v>
      </c>
      <c r="BY91" s="65"/>
      <c r="BZ91" s="65">
        <v>45311</v>
      </c>
      <c r="CA91" s="65" t="s">
        <v>629</v>
      </c>
      <c r="CB91" s="65"/>
    </row>
    <row r="92" spans="1:80" s="64" customFormat="1" ht="22" customHeight="1" x14ac:dyDescent="0.2">
      <c r="A92" s="53" t="s">
        <v>37</v>
      </c>
      <c r="B92" s="63">
        <f ca="1">TODAY()</f>
        <v>45935</v>
      </c>
      <c r="C92" s="69" t="s">
        <v>436</v>
      </c>
      <c r="D92" s="68" t="s">
        <v>243</v>
      </c>
      <c r="E92" s="64" t="s">
        <v>43</v>
      </c>
      <c r="F92" s="2" t="s">
        <v>111</v>
      </c>
      <c r="G92" s="65">
        <v>45792</v>
      </c>
      <c r="H92" s="65">
        <v>46156</v>
      </c>
      <c r="I92" s="66">
        <f ca="1">(Table26[[#This Row],[Ref Date]]-Table26[[#This Row],[Service Start Date ]])/35</f>
        <v>4.0857142857142854</v>
      </c>
      <c r="J92" s="66">
        <f>COUNTIF(Table26[[#This Row],[2025 October
Actual]:[2024 January 
Done by 2]],"&gt;=" &amp;Table26[[#This Row],[Service Start Date ]])</f>
        <v>1</v>
      </c>
      <c r="K92" s="66">
        <f ca="1">Table26[[#This Row],[Actual Services
to be done]]-Table26[[#This Row],[Completed Services]]</f>
        <v>3.0857142857142854</v>
      </c>
      <c r="L92" s="64" t="s">
        <v>119</v>
      </c>
      <c r="M92" s="67">
        <f ca="1">B92-R92</f>
        <v>29</v>
      </c>
      <c r="N92" s="65">
        <f ca="1">((B92+(-M92+35-10)))</f>
        <v>45931</v>
      </c>
      <c r="O92" s="65"/>
      <c r="P92" s="65"/>
      <c r="Q92" s="65"/>
      <c r="R92" s="65">
        <v>45906</v>
      </c>
      <c r="S92" s="65" t="s">
        <v>621</v>
      </c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>
        <v>45791</v>
      </c>
      <c r="AE92" s="65" t="s">
        <v>615</v>
      </c>
      <c r="AF92" s="65"/>
      <c r="AG92" s="65">
        <v>45765</v>
      </c>
      <c r="AH92" s="65" t="s">
        <v>622</v>
      </c>
      <c r="AI92" s="65"/>
      <c r="AJ92" s="65">
        <v>45728</v>
      </c>
      <c r="AK92" s="65" t="s">
        <v>615</v>
      </c>
      <c r="AL92" s="65"/>
      <c r="AM92" s="65">
        <v>45705</v>
      </c>
      <c r="AN92" s="65" t="s">
        <v>615</v>
      </c>
      <c r="AO92" s="65"/>
      <c r="AP92" s="65">
        <v>45683</v>
      </c>
      <c r="AQ92" s="65" t="s">
        <v>615</v>
      </c>
      <c r="AR92" s="65"/>
      <c r="AS92" s="65">
        <v>45644</v>
      </c>
      <c r="AT92" s="65" t="s">
        <v>615</v>
      </c>
      <c r="AU92" s="65"/>
      <c r="AV92" s="65">
        <v>45614</v>
      </c>
      <c r="AW92" s="65" t="s">
        <v>622</v>
      </c>
      <c r="AX92" s="65"/>
      <c r="AY92" s="65">
        <v>45574</v>
      </c>
      <c r="AZ92" s="95" t="s">
        <v>622</v>
      </c>
      <c r="BA92" s="65"/>
      <c r="BB92" s="65">
        <v>45552</v>
      </c>
      <c r="BC92" s="65" t="s">
        <v>622</v>
      </c>
      <c r="BD92" s="65"/>
      <c r="BE92" s="65">
        <v>45514</v>
      </c>
      <c r="BF92" s="65" t="s">
        <v>622</v>
      </c>
      <c r="BG92" s="65"/>
      <c r="BH92" s="65"/>
      <c r="BI92" s="65"/>
      <c r="BJ92" s="65"/>
      <c r="BK92" s="65"/>
      <c r="BL92" s="65"/>
      <c r="BM92" s="65"/>
      <c r="BN92" s="65">
        <v>45425</v>
      </c>
      <c r="BO92" s="65" t="s">
        <v>628</v>
      </c>
      <c r="BP92" s="65"/>
      <c r="BQ92" s="65"/>
      <c r="BR92" s="65"/>
      <c r="BS92" s="65"/>
      <c r="BT92" s="65">
        <v>45369</v>
      </c>
      <c r="BU92" s="65" t="s">
        <v>629</v>
      </c>
      <c r="BV92" s="65"/>
      <c r="BW92" s="65">
        <v>45331</v>
      </c>
      <c r="BX92" s="65" t="s">
        <v>630</v>
      </c>
      <c r="BY92" s="65"/>
      <c r="BZ92" s="65"/>
      <c r="CA92" s="65"/>
      <c r="CB92" s="65"/>
    </row>
    <row r="93" spans="1:80" s="94" customFormat="1" ht="22" customHeight="1" x14ac:dyDescent="0.2">
      <c r="A93" s="53" t="s">
        <v>37</v>
      </c>
      <c r="B93" s="63">
        <f ca="1">TODAY()</f>
        <v>45935</v>
      </c>
      <c r="C93" s="69" t="s">
        <v>568</v>
      </c>
      <c r="D93" s="68" t="s">
        <v>351</v>
      </c>
      <c r="E93" s="74" t="s">
        <v>29</v>
      </c>
      <c r="F93" s="2" t="s">
        <v>112</v>
      </c>
      <c r="G93" s="65">
        <v>45839</v>
      </c>
      <c r="H93" s="65">
        <v>46203</v>
      </c>
      <c r="I93" s="66">
        <f ca="1">(Table26[[#This Row],[Ref Date]]-Table26[[#This Row],[Service Start Date ]])/35</f>
        <v>2.7428571428571429</v>
      </c>
      <c r="J93" s="66">
        <f>COUNTIF(Table26[[#This Row],[2025 October
Actual]:[2024 January 
Done by 2]],"&gt;=" &amp;Table26[[#This Row],[Service Start Date ]])</f>
        <v>2</v>
      </c>
      <c r="K93" s="66">
        <f ca="1">Table26[[#This Row],[Actual Services
to be done]]-Table26[[#This Row],[Completed Services]]</f>
        <v>0.74285714285714288</v>
      </c>
      <c r="L93" s="64" t="s">
        <v>119</v>
      </c>
      <c r="M93" s="67">
        <f ca="1">B93-R93</f>
        <v>11</v>
      </c>
      <c r="N93" s="65">
        <f ca="1">((B93+(-M93+35-10)))</f>
        <v>45949</v>
      </c>
      <c r="O93" s="65"/>
      <c r="P93" s="65"/>
      <c r="Q93" s="65"/>
      <c r="R93" s="65">
        <v>45924</v>
      </c>
      <c r="S93" s="65" t="s">
        <v>615</v>
      </c>
      <c r="T93" s="65"/>
      <c r="U93" s="65"/>
      <c r="V93" s="65"/>
      <c r="W93" s="65"/>
      <c r="X93" s="65">
        <v>45850</v>
      </c>
      <c r="Y93" s="65" t="s">
        <v>621</v>
      </c>
      <c r="Z93" s="65"/>
      <c r="AA93" s="65">
        <v>45810</v>
      </c>
      <c r="AB93" s="65" t="s">
        <v>615</v>
      </c>
      <c r="AC93" s="65"/>
      <c r="AD93" s="65"/>
      <c r="AE93" s="65"/>
      <c r="AF93" s="65"/>
      <c r="AG93" s="65">
        <v>45775</v>
      </c>
      <c r="AH93" s="65" t="s">
        <v>622</v>
      </c>
      <c r="AI93" s="65"/>
      <c r="AJ93" s="65">
        <v>45730</v>
      </c>
      <c r="AK93" s="65" t="s">
        <v>615</v>
      </c>
      <c r="AL93" s="65"/>
      <c r="AM93" s="65">
        <v>45709</v>
      </c>
      <c r="AN93" s="65" t="s">
        <v>615</v>
      </c>
      <c r="AO93" s="65"/>
      <c r="AP93" s="65">
        <v>45686</v>
      </c>
      <c r="AQ93" s="65" t="s">
        <v>615</v>
      </c>
      <c r="AR93" s="65"/>
      <c r="AS93" s="65">
        <v>45653</v>
      </c>
      <c r="AT93" s="65" t="s">
        <v>615</v>
      </c>
      <c r="AU93" s="65"/>
      <c r="AV93" s="65">
        <v>45618</v>
      </c>
      <c r="AW93" s="65" t="s">
        <v>615</v>
      </c>
      <c r="AX93" s="65"/>
      <c r="AY93" s="65">
        <v>45593</v>
      </c>
      <c r="AZ93" s="65" t="s">
        <v>618</v>
      </c>
      <c r="BA93" s="65"/>
      <c r="BB93" s="65">
        <v>45546</v>
      </c>
      <c r="BC93" s="65" t="s">
        <v>618</v>
      </c>
      <c r="BD93" s="65"/>
      <c r="BE93" s="65">
        <v>45516</v>
      </c>
      <c r="BF93" s="65" t="s">
        <v>615</v>
      </c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</row>
    <row r="94" spans="1:80" s="64" customFormat="1" ht="22" customHeight="1" x14ac:dyDescent="0.2">
      <c r="A94" s="53" t="s">
        <v>37</v>
      </c>
      <c r="B94" s="63">
        <f ca="1">TODAY()</f>
        <v>45935</v>
      </c>
      <c r="C94" s="69" t="s">
        <v>477</v>
      </c>
      <c r="D94" s="68" t="s">
        <v>309</v>
      </c>
      <c r="E94" s="64" t="s">
        <v>14</v>
      </c>
      <c r="F94" s="2" t="s">
        <v>111</v>
      </c>
      <c r="G94" s="65">
        <v>45689</v>
      </c>
      <c r="H94" s="65">
        <v>46053</v>
      </c>
      <c r="I94" s="66">
        <f ca="1">(Table26[[#This Row],[Ref Date]]-Table26[[#This Row],[Service Start Date ]])/35</f>
        <v>7.0285714285714285</v>
      </c>
      <c r="J94" s="66">
        <f>COUNTIF(Table26[[#This Row],[2025 October
Actual]:[2024 January 
Done by 2]],"&gt;=" &amp;Table26[[#This Row],[Service Start Date ]])</f>
        <v>6</v>
      </c>
      <c r="K94" s="66">
        <f ca="1">Table26[[#This Row],[Actual Services
to be done]]-Table26[[#This Row],[Completed Services]]</f>
        <v>1.0285714285714285</v>
      </c>
      <c r="L94" s="64" t="s">
        <v>119</v>
      </c>
      <c r="M94" s="67">
        <f ca="1">B94-R94</f>
        <v>17</v>
      </c>
      <c r="N94" s="65">
        <f ca="1">((B94+(-M94+35-10)))</f>
        <v>45943</v>
      </c>
      <c r="O94" s="65"/>
      <c r="P94" s="65"/>
      <c r="Q94" s="65"/>
      <c r="R94" s="65">
        <v>45918</v>
      </c>
      <c r="S94" s="65" t="s">
        <v>615</v>
      </c>
      <c r="T94" s="65"/>
      <c r="U94" s="65"/>
      <c r="V94" s="65"/>
      <c r="W94" s="65"/>
      <c r="X94" s="65">
        <v>45840</v>
      </c>
      <c r="Y94" s="65" t="s">
        <v>618</v>
      </c>
      <c r="Z94" s="65"/>
      <c r="AA94" s="65"/>
      <c r="AB94" s="65"/>
      <c r="AC94" s="65"/>
      <c r="AD94" s="65">
        <v>45806</v>
      </c>
      <c r="AE94" s="65" t="s">
        <v>615</v>
      </c>
      <c r="AF94" s="65"/>
      <c r="AG94" s="65">
        <v>45769</v>
      </c>
      <c r="AH94" s="65" t="s">
        <v>622</v>
      </c>
      <c r="AI94" s="65"/>
      <c r="AJ94" s="65">
        <v>45735</v>
      </c>
      <c r="AK94" s="65" t="s">
        <v>618</v>
      </c>
      <c r="AL94" s="65"/>
      <c r="AM94" s="65">
        <v>45709</v>
      </c>
      <c r="AN94" s="65" t="s">
        <v>615</v>
      </c>
      <c r="AO94" s="65"/>
      <c r="AP94" s="65">
        <v>45684</v>
      </c>
      <c r="AQ94" s="65" t="s">
        <v>615</v>
      </c>
      <c r="AR94" s="65"/>
      <c r="AS94" s="65">
        <v>45642</v>
      </c>
      <c r="AT94" s="65" t="s">
        <v>615</v>
      </c>
      <c r="AU94" s="65"/>
      <c r="AV94" s="65">
        <v>45611</v>
      </c>
      <c r="AW94" s="65" t="s">
        <v>618</v>
      </c>
      <c r="AX94" s="65"/>
      <c r="AY94" s="65">
        <v>45569</v>
      </c>
      <c r="AZ94" s="95" t="s">
        <v>622</v>
      </c>
      <c r="BA94" s="65"/>
      <c r="BB94" s="65">
        <v>45539</v>
      </c>
      <c r="BC94" s="65" t="s">
        <v>618</v>
      </c>
      <c r="BD94" s="65"/>
      <c r="BE94" s="65">
        <v>45516</v>
      </c>
      <c r="BF94" s="65" t="s">
        <v>622</v>
      </c>
      <c r="BG94" s="65"/>
      <c r="BH94" s="65"/>
      <c r="BI94" s="65"/>
      <c r="BJ94" s="65"/>
      <c r="BK94" s="65"/>
      <c r="BL94" s="65"/>
      <c r="BM94" s="65"/>
      <c r="BN94" s="65">
        <v>45434</v>
      </c>
      <c r="BO94" s="65" t="s">
        <v>626</v>
      </c>
      <c r="BP94" s="65"/>
      <c r="BQ94" s="65">
        <v>45387</v>
      </c>
      <c r="BR94" s="65" t="s">
        <v>629</v>
      </c>
      <c r="BS94" s="65"/>
      <c r="BT94" s="65"/>
      <c r="BU94" s="65"/>
      <c r="BV94" s="65"/>
      <c r="BW94" s="65">
        <v>45342</v>
      </c>
      <c r="BX94" s="65" t="s">
        <v>630</v>
      </c>
      <c r="BY94" s="65"/>
      <c r="BZ94" s="65">
        <v>45310</v>
      </c>
      <c r="CA94" s="65" t="s">
        <v>630</v>
      </c>
      <c r="CB94" s="65"/>
    </row>
    <row r="95" spans="1:80" s="64" customFormat="1" ht="22" customHeight="1" x14ac:dyDescent="0.2">
      <c r="A95" s="53" t="s">
        <v>37</v>
      </c>
      <c r="B95" s="63">
        <f ca="1">TODAY()</f>
        <v>45935</v>
      </c>
      <c r="C95" s="69" t="s">
        <v>519</v>
      </c>
      <c r="D95" s="68" t="s">
        <v>241</v>
      </c>
      <c r="E95" s="64" t="s">
        <v>82</v>
      </c>
      <c r="F95" s="2" t="s">
        <v>111</v>
      </c>
      <c r="G95" s="65">
        <v>45659</v>
      </c>
      <c r="H95" s="65">
        <v>46023</v>
      </c>
      <c r="I95" s="66">
        <f ca="1">(Table26[[#This Row],[Ref Date]]-Table26[[#This Row],[Service Start Date ]])/35</f>
        <v>7.8857142857142861</v>
      </c>
      <c r="J95" s="66">
        <f>COUNTIF(Table26[[#This Row],[2025 October
Actual]:[2024 January 
Done by 2]],"&gt;=" &amp;Table26[[#This Row],[Service Start Date ]])</f>
        <v>6</v>
      </c>
      <c r="K95" s="66">
        <f ca="1">Table26[[#This Row],[Actual Services
to be done]]-Table26[[#This Row],[Completed Services]]</f>
        <v>1.8857142857142861</v>
      </c>
      <c r="L95" s="64" t="s">
        <v>119</v>
      </c>
      <c r="M95" s="67">
        <f ca="1">B95-X95</f>
        <v>76</v>
      </c>
      <c r="N95" s="65">
        <f ca="1">((B95+(-M95+35-10)))</f>
        <v>45884</v>
      </c>
      <c r="O95" s="65"/>
      <c r="P95" s="65"/>
      <c r="Q95" s="65"/>
      <c r="R95" s="65"/>
      <c r="S95" s="65"/>
      <c r="T95" s="65"/>
      <c r="U95" s="65"/>
      <c r="V95" s="65"/>
      <c r="W95" s="65"/>
      <c r="X95" s="65">
        <v>45859</v>
      </c>
      <c r="Y95" s="65" t="s">
        <v>618</v>
      </c>
      <c r="Z95" s="65"/>
      <c r="AA95" s="65"/>
      <c r="AB95" s="65"/>
      <c r="AC95" s="65"/>
      <c r="AD95" s="65">
        <v>45807</v>
      </c>
      <c r="AE95" s="65" t="s">
        <v>618</v>
      </c>
      <c r="AF95" s="65"/>
      <c r="AG95" s="65">
        <v>45770</v>
      </c>
      <c r="AH95" s="65" t="s">
        <v>622</v>
      </c>
      <c r="AI95" s="65"/>
      <c r="AJ95" s="65">
        <v>45730</v>
      </c>
      <c r="AK95" s="65" t="s">
        <v>618</v>
      </c>
      <c r="AL95" s="65"/>
      <c r="AM95" s="65">
        <v>45708</v>
      </c>
      <c r="AN95" s="65" t="s">
        <v>615</v>
      </c>
      <c r="AO95" s="65"/>
      <c r="AP95" s="65">
        <v>45683</v>
      </c>
      <c r="AQ95" s="65" t="s">
        <v>615</v>
      </c>
      <c r="AR95" s="65"/>
      <c r="AS95" s="65">
        <v>45646</v>
      </c>
      <c r="AT95" s="65" t="s">
        <v>615</v>
      </c>
      <c r="AU95" s="65"/>
      <c r="AV95" s="65">
        <v>45617</v>
      </c>
      <c r="AW95" s="65" t="s">
        <v>618</v>
      </c>
      <c r="AX95" s="65"/>
      <c r="AY95" s="65">
        <v>45588</v>
      </c>
      <c r="AZ95" s="95" t="s">
        <v>622</v>
      </c>
      <c r="BA95" s="65"/>
      <c r="BB95" s="65">
        <v>45547</v>
      </c>
      <c r="BC95" s="65" t="s">
        <v>618</v>
      </c>
      <c r="BD95" s="65"/>
      <c r="BE95" s="65">
        <v>45509</v>
      </c>
      <c r="BF95" s="65" t="s">
        <v>621</v>
      </c>
      <c r="BG95" s="65" t="s">
        <v>618</v>
      </c>
      <c r="BH95" s="65"/>
      <c r="BI95" s="65"/>
      <c r="BJ95" s="65"/>
      <c r="BK95" s="65"/>
      <c r="BL95" s="65"/>
      <c r="BM95" s="65"/>
      <c r="BN95" s="65">
        <v>45416</v>
      </c>
      <c r="BO95" s="65" t="s">
        <v>621</v>
      </c>
      <c r="BP95" s="65"/>
      <c r="BQ95" s="65"/>
      <c r="BR95" s="65"/>
      <c r="BS95" s="65"/>
      <c r="BT95" s="65">
        <v>45365</v>
      </c>
      <c r="BU95" s="65" t="s">
        <v>629</v>
      </c>
      <c r="BV95" s="65"/>
      <c r="BW95" s="65">
        <v>45330</v>
      </c>
      <c r="BX95" s="65" t="s">
        <v>630</v>
      </c>
      <c r="BY95" s="65"/>
      <c r="BZ95" s="65"/>
      <c r="CA95" s="65"/>
      <c r="CB95" s="65"/>
    </row>
    <row r="96" spans="1:80" s="64" customFormat="1" ht="22" customHeight="1" x14ac:dyDescent="0.2">
      <c r="A96" s="53" t="s">
        <v>37</v>
      </c>
      <c r="B96" s="63">
        <f ca="1">TODAY()</f>
        <v>45935</v>
      </c>
      <c r="C96" s="69" t="s">
        <v>589</v>
      </c>
      <c r="D96" s="68" t="s">
        <v>242</v>
      </c>
      <c r="E96" s="64" t="s">
        <v>82</v>
      </c>
      <c r="F96" s="2" t="s">
        <v>112</v>
      </c>
      <c r="G96" s="65">
        <v>45659</v>
      </c>
      <c r="H96" s="65">
        <v>46023</v>
      </c>
      <c r="I96" s="66">
        <f ca="1">(Table26[[#This Row],[Ref Date]]-Table26[[#This Row],[Service Start Date ]])/35</f>
        <v>7.8857142857142861</v>
      </c>
      <c r="J96" s="66">
        <f>COUNTIF(Table26[[#This Row],[2025 October
Actual]:[2024 January 
Done by 2]],"&gt;=" &amp;Table26[[#This Row],[Service Start Date ]])</f>
        <v>6</v>
      </c>
      <c r="K96" s="66">
        <f ca="1">Table26[[#This Row],[Actual Services
to be done]]-Table26[[#This Row],[Completed Services]]</f>
        <v>1.8857142857142861</v>
      </c>
      <c r="L96" s="64" t="s">
        <v>119</v>
      </c>
      <c r="M96" s="67">
        <f ca="1">B96-X96</f>
        <v>76</v>
      </c>
      <c r="N96" s="65">
        <f ca="1">((B96+(-M96+35-10)))</f>
        <v>45884</v>
      </c>
      <c r="O96" s="65"/>
      <c r="P96" s="65"/>
      <c r="Q96" s="65"/>
      <c r="R96" s="65"/>
      <c r="S96" s="65"/>
      <c r="T96" s="65"/>
      <c r="U96" s="65"/>
      <c r="V96" s="65"/>
      <c r="W96" s="65"/>
      <c r="X96" s="65">
        <v>45859</v>
      </c>
      <c r="Y96" s="65" t="s">
        <v>618</v>
      </c>
      <c r="Z96" s="65"/>
      <c r="AA96" s="65"/>
      <c r="AB96" s="65"/>
      <c r="AC96" s="65"/>
      <c r="AD96" s="65">
        <v>45807</v>
      </c>
      <c r="AE96" s="65" t="s">
        <v>618</v>
      </c>
      <c r="AF96" s="65"/>
      <c r="AG96" s="65">
        <v>45770</v>
      </c>
      <c r="AH96" s="65" t="s">
        <v>622</v>
      </c>
      <c r="AI96" s="65"/>
      <c r="AJ96" s="65">
        <v>45730</v>
      </c>
      <c r="AK96" s="65" t="s">
        <v>618</v>
      </c>
      <c r="AL96" s="65"/>
      <c r="AM96" s="65">
        <v>45708</v>
      </c>
      <c r="AN96" s="65" t="s">
        <v>615</v>
      </c>
      <c r="AO96" s="65"/>
      <c r="AP96" s="65">
        <v>45683</v>
      </c>
      <c r="AQ96" s="65" t="s">
        <v>615</v>
      </c>
      <c r="AR96" s="65"/>
      <c r="AS96" s="65">
        <v>45646</v>
      </c>
      <c r="AT96" s="65" t="s">
        <v>615</v>
      </c>
      <c r="AU96" s="65"/>
      <c r="AV96" s="65">
        <v>45617</v>
      </c>
      <c r="AW96" s="65" t="s">
        <v>618</v>
      </c>
      <c r="AX96" s="65"/>
      <c r="AY96" s="65">
        <v>45589</v>
      </c>
      <c r="AZ96" s="95" t="s">
        <v>622</v>
      </c>
      <c r="BA96" s="65"/>
      <c r="BB96" s="65">
        <v>45547</v>
      </c>
      <c r="BC96" s="65" t="s">
        <v>618</v>
      </c>
      <c r="BD96" s="65"/>
      <c r="BE96" s="65">
        <v>45509</v>
      </c>
      <c r="BF96" s="65" t="s">
        <v>621</v>
      </c>
      <c r="BG96" s="65" t="s">
        <v>618</v>
      </c>
      <c r="BH96" s="65"/>
      <c r="BI96" s="65"/>
      <c r="BJ96" s="65"/>
      <c r="BK96" s="65"/>
      <c r="BL96" s="65"/>
      <c r="BM96" s="65"/>
      <c r="BN96" s="65">
        <v>45416</v>
      </c>
      <c r="BO96" s="65" t="s">
        <v>621</v>
      </c>
      <c r="BP96" s="65"/>
      <c r="BQ96" s="65"/>
      <c r="BR96" s="65"/>
      <c r="BS96" s="65"/>
      <c r="BT96" s="65">
        <v>45365</v>
      </c>
      <c r="BU96" s="65" t="s">
        <v>629</v>
      </c>
      <c r="BV96" s="65"/>
      <c r="BW96" s="65">
        <v>45330</v>
      </c>
      <c r="BX96" s="65" t="s">
        <v>630</v>
      </c>
      <c r="BY96" s="65"/>
      <c r="BZ96" s="65"/>
      <c r="CA96" s="65"/>
      <c r="CB96" s="65"/>
    </row>
    <row r="97" spans="1:80" s="64" customFormat="1" ht="22" customHeight="1" x14ac:dyDescent="0.2">
      <c r="A97" s="53" t="s">
        <v>37</v>
      </c>
      <c r="B97" s="63">
        <f ca="1">TODAY()</f>
        <v>45935</v>
      </c>
      <c r="C97" s="69" t="s">
        <v>508</v>
      </c>
      <c r="D97" s="68" t="s">
        <v>369</v>
      </c>
      <c r="E97" s="64" t="s">
        <v>14</v>
      </c>
      <c r="F97" s="2" t="s">
        <v>111</v>
      </c>
      <c r="G97" s="65">
        <v>45700</v>
      </c>
      <c r="H97" s="65">
        <v>46064</v>
      </c>
      <c r="I97" s="66">
        <f ca="1">(Table26[[#This Row],[Ref Date]]-Table26[[#This Row],[Service Start Date ]])/35</f>
        <v>6.7142857142857144</v>
      </c>
      <c r="J97" s="66">
        <f>COUNTIF(Table26[[#This Row],[2025 October
Actual]:[2024 January 
Done by 2]],"&gt;=" &amp;Table26[[#This Row],[Service Start Date ]])</f>
        <v>6</v>
      </c>
      <c r="K97" s="66">
        <f ca="1">Table26[[#This Row],[Actual Services
to be done]]-Table26[[#This Row],[Completed Services]]</f>
        <v>0.71428571428571441</v>
      </c>
      <c r="L97" s="64" t="s">
        <v>119</v>
      </c>
      <c r="M97" s="67">
        <f ca="1">B97-O97</f>
        <v>2</v>
      </c>
      <c r="N97" s="65">
        <f ca="1">((B97+(-M97+35-10)))</f>
        <v>45958</v>
      </c>
      <c r="O97" s="65">
        <v>45933</v>
      </c>
      <c r="P97" s="65" t="s">
        <v>615</v>
      </c>
      <c r="Q97" s="65"/>
      <c r="R97" s="65"/>
      <c r="S97" s="65"/>
      <c r="T97" s="65"/>
      <c r="U97" s="65"/>
      <c r="V97" s="65"/>
      <c r="W97" s="65"/>
      <c r="X97" s="65">
        <v>45860</v>
      </c>
      <c r="Y97" s="65" t="s">
        <v>618</v>
      </c>
      <c r="Z97" s="65"/>
      <c r="AA97" s="65">
        <v>45810</v>
      </c>
      <c r="AB97" s="65" t="s">
        <v>615</v>
      </c>
      <c r="AC97" s="65"/>
      <c r="AD97" s="65"/>
      <c r="AE97" s="65"/>
      <c r="AF97" s="65"/>
      <c r="AG97" s="65">
        <v>45769</v>
      </c>
      <c r="AH97" s="65" t="s">
        <v>622</v>
      </c>
      <c r="AI97" s="65"/>
      <c r="AJ97" s="65">
        <v>45735</v>
      </c>
      <c r="AK97" s="65" t="s">
        <v>618</v>
      </c>
      <c r="AL97" s="65"/>
      <c r="AM97" s="65">
        <v>45709</v>
      </c>
      <c r="AN97" s="65" t="s">
        <v>615</v>
      </c>
      <c r="AO97" s="65"/>
      <c r="AP97" s="65">
        <v>45684</v>
      </c>
      <c r="AQ97" s="65" t="s">
        <v>615</v>
      </c>
      <c r="AR97" s="65"/>
      <c r="AS97" s="65">
        <v>45642</v>
      </c>
      <c r="AT97" s="65" t="s">
        <v>615</v>
      </c>
      <c r="AU97" s="65"/>
      <c r="AV97" s="65">
        <v>45614</v>
      </c>
      <c r="AW97" s="65" t="s">
        <v>618</v>
      </c>
      <c r="AX97" s="65"/>
      <c r="AY97" s="65">
        <v>45593</v>
      </c>
      <c r="AZ97" s="65" t="s">
        <v>618</v>
      </c>
      <c r="BA97" s="65"/>
      <c r="BB97" s="65">
        <v>45549</v>
      </c>
      <c r="BC97" s="65" t="s">
        <v>618</v>
      </c>
      <c r="BD97" s="65"/>
      <c r="BE97" s="65">
        <v>45516</v>
      </c>
      <c r="BF97" s="65" t="s">
        <v>622</v>
      </c>
      <c r="BG97" s="65"/>
      <c r="BH97" s="65"/>
      <c r="BI97" s="65"/>
      <c r="BJ97" s="65"/>
      <c r="BK97" s="65"/>
      <c r="BL97" s="65"/>
      <c r="BM97" s="65"/>
      <c r="BN97" s="65">
        <v>45440</v>
      </c>
      <c r="BO97" s="65" t="s">
        <v>621</v>
      </c>
      <c r="BP97" s="65"/>
      <c r="BQ97" s="65">
        <v>45395</v>
      </c>
      <c r="BR97" s="65" t="s">
        <v>629</v>
      </c>
      <c r="BS97" s="65"/>
      <c r="BT97" s="65"/>
      <c r="BU97" s="65"/>
      <c r="BV97" s="65"/>
      <c r="BW97" s="65">
        <v>45348</v>
      </c>
      <c r="BX97" s="65" t="s">
        <v>631</v>
      </c>
      <c r="BY97" s="65"/>
      <c r="BZ97" s="65">
        <v>45310</v>
      </c>
      <c r="CA97" s="65" t="s">
        <v>630</v>
      </c>
      <c r="CB97" s="65"/>
    </row>
    <row r="98" spans="1:80" s="64" customFormat="1" ht="22" customHeight="1" x14ac:dyDescent="0.2">
      <c r="A98" s="53" t="s">
        <v>38</v>
      </c>
      <c r="B98" s="63">
        <f ca="1">TODAY()</f>
        <v>45935</v>
      </c>
      <c r="C98" s="69" t="s">
        <v>482</v>
      </c>
      <c r="D98" s="68" t="s">
        <v>384</v>
      </c>
      <c r="E98" s="64" t="s">
        <v>17</v>
      </c>
      <c r="F98" s="2" t="s">
        <v>111</v>
      </c>
      <c r="G98" s="65">
        <v>45513</v>
      </c>
      <c r="H98" s="65">
        <v>45877</v>
      </c>
      <c r="I98" s="66">
        <v>6</v>
      </c>
      <c r="J98" s="66">
        <f>COUNTIF(Table26[[#This Row],[2025 October
Actual]:[2024 January 
Done by 2]],"&gt;=" &amp;Table26[[#This Row],[Service Start Date ]])</f>
        <v>7</v>
      </c>
      <c r="K98" s="66">
        <f>Table26[[#This Row],[Actual Services
to be done]]-Table26[[#This Row],[Completed Services]]</f>
        <v>-1</v>
      </c>
      <c r="L98" s="64" t="s">
        <v>118</v>
      </c>
      <c r="M98" s="67">
        <f ca="1">B98-AA98</f>
        <v>116</v>
      </c>
      <c r="N98" s="65">
        <f ca="1">((B98+(-M98+60)))</f>
        <v>45879</v>
      </c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>
        <v>45819</v>
      </c>
      <c r="AB98" s="65" t="s">
        <v>615</v>
      </c>
      <c r="AC98" s="65"/>
      <c r="AD98" s="65"/>
      <c r="AE98" s="65"/>
      <c r="AF98" s="65"/>
      <c r="AG98" s="65"/>
      <c r="AH98" s="65"/>
      <c r="AI98" s="65"/>
      <c r="AJ98" s="65">
        <v>45740</v>
      </c>
      <c r="AK98" s="65" t="s">
        <v>621</v>
      </c>
      <c r="AL98" s="65"/>
      <c r="AM98" s="65">
        <v>45726</v>
      </c>
      <c r="AN98" s="65" t="s">
        <v>615</v>
      </c>
      <c r="AO98" s="65"/>
      <c r="AP98" s="65">
        <v>45707</v>
      </c>
      <c r="AQ98" s="65" t="s">
        <v>615</v>
      </c>
      <c r="AR98" s="65"/>
      <c r="AS98" s="65">
        <v>45653</v>
      </c>
      <c r="AT98" s="65" t="s">
        <v>615</v>
      </c>
      <c r="AU98" s="65"/>
      <c r="AV98" s="65"/>
      <c r="AW98" s="65"/>
      <c r="AX98" s="65"/>
      <c r="AY98" s="65">
        <v>45587</v>
      </c>
      <c r="AZ98" s="65" t="s">
        <v>615</v>
      </c>
      <c r="BA98" s="65"/>
      <c r="BB98" s="65"/>
      <c r="BC98" s="65"/>
      <c r="BD98" s="65"/>
      <c r="BE98" s="65">
        <v>45525</v>
      </c>
      <c r="BF98" s="65" t="s">
        <v>618</v>
      </c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>
        <v>45393</v>
      </c>
      <c r="BR98" s="65" t="s">
        <v>629</v>
      </c>
      <c r="BS98" s="65"/>
      <c r="BT98" s="65"/>
      <c r="BU98" s="65"/>
      <c r="BV98" s="65"/>
      <c r="BW98" s="65">
        <v>45334</v>
      </c>
      <c r="BX98" s="65" t="s">
        <v>630</v>
      </c>
      <c r="BY98" s="65"/>
      <c r="BZ98" s="65">
        <v>45309</v>
      </c>
      <c r="CA98" s="65" t="s">
        <v>630</v>
      </c>
      <c r="CB98" s="65"/>
    </row>
    <row r="99" spans="1:80" s="64" customFormat="1" ht="22" customHeight="1" x14ac:dyDescent="0.2">
      <c r="A99" s="53" t="s">
        <v>37</v>
      </c>
      <c r="B99" s="63">
        <f ca="1">TODAY()</f>
        <v>45935</v>
      </c>
      <c r="C99" s="69" t="s">
        <v>522</v>
      </c>
      <c r="D99" s="68" t="s">
        <v>360</v>
      </c>
      <c r="E99" s="64" t="s">
        <v>135</v>
      </c>
      <c r="F99" s="2" t="s">
        <v>111</v>
      </c>
      <c r="G99" s="65">
        <v>45659</v>
      </c>
      <c r="H99" s="65">
        <v>46023</v>
      </c>
      <c r="I99" s="66">
        <f ca="1">(Table26[[#This Row],[Ref Date]]-Table26[[#This Row],[Service Start Date ]])/35</f>
        <v>7.8857142857142861</v>
      </c>
      <c r="J99" s="66">
        <f>COUNTIF(Table26[[#This Row],[2025 October
Actual]:[2024 January 
Done by 2]],"&gt;=" &amp;Table26[[#This Row],[Service Start Date ]])</f>
        <v>6</v>
      </c>
      <c r="K99" s="66">
        <f ca="1">Table26[[#This Row],[Actual Services
to be done]]-Table26[[#This Row],[Completed Services]]</f>
        <v>1.8857142857142861</v>
      </c>
      <c r="L99" s="64" t="s">
        <v>119</v>
      </c>
      <c r="M99" s="67">
        <f ca="1">B99-X99</f>
        <v>79</v>
      </c>
      <c r="N99" s="65">
        <f ca="1">((B99+(-M99+35-10)))</f>
        <v>45881</v>
      </c>
      <c r="O99" s="65"/>
      <c r="P99" s="65"/>
      <c r="Q99" s="65"/>
      <c r="R99" s="65"/>
      <c r="S99" s="65"/>
      <c r="T99" s="65"/>
      <c r="U99" s="65"/>
      <c r="V99" s="65"/>
      <c r="W99" s="65"/>
      <c r="X99" s="65">
        <v>45856</v>
      </c>
      <c r="Y99" s="65" t="s">
        <v>618</v>
      </c>
      <c r="Z99" s="65"/>
      <c r="AA99" s="65"/>
      <c r="AB99" s="65"/>
      <c r="AC99" s="65"/>
      <c r="AD99" s="65">
        <v>45808</v>
      </c>
      <c r="AE99" s="65" t="s">
        <v>615</v>
      </c>
      <c r="AF99" s="65"/>
      <c r="AG99" s="65">
        <v>45766</v>
      </c>
      <c r="AH99" s="65" t="s">
        <v>615</v>
      </c>
      <c r="AI99" s="65"/>
      <c r="AJ99" s="65">
        <v>45743</v>
      </c>
      <c r="AK99" s="65" t="s">
        <v>622</v>
      </c>
      <c r="AL99" s="65"/>
      <c r="AM99" s="65">
        <v>45715</v>
      </c>
      <c r="AN99" s="65" t="s">
        <v>615</v>
      </c>
      <c r="AO99" s="65"/>
      <c r="AP99" s="65">
        <v>45687</v>
      </c>
      <c r="AQ99" s="65" t="s">
        <v>615</v>
      </c>
      <c r="AR99" s="65"/>
      <c r="AS99" s="65">
        <v>45656</v>
      </c>
      <c r="AT99" s="65" t="s">
        <v>615</v>
      </c>
      <c r="AU99" s="65"/>
      <c r="AV99" s="65">
        <v>45603</v>
      </c>
      <c r="AW99" s="65" t="s">
        <v>622</v>
      </c>
      <c r="AX99" s="65"/>
      <c r="AY99" s="65">
        <v>45570</v>
      </c>
      <c r="AZ99" s="65" t="s">
        <v>618</v>
      </c>
      <c r="BA99" s="65"/>
      <c r="BB99" s="65">
        <v>45545</v>
      </c>
      <c r="BC99" s="65" t="s">
        <v>622</v>
      </c>
      <c r="BD99" s="65"/>
      <c r="BE99" s="65">
        <v>45512</v>
      </c>
      <c r="BF99" s="65" t="s">
        <v>622</v>
      </c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>
        <v>45409</v>
      </c>
      <c r="BR99" s="65" t="s">
        <v>629</v>
      </c>
      <c r="BS99" s="65"/>
      <c r="BT99" s="65"/>
      <c r="BU99" s="65"/>
      <c r="BV99" s="65"/>
      <c r="BW99" s="65">
        <v>45337</v>
      </c>
      <c r="BX99" s="65" t="s">
        <v>630</v>
      </c>
      <c r="BY99" s="65"/>
      <c r="BZ99" s="65"/>
      <c r="CA99" s="65"/>
      <c r="CB99" s="65"/>
    </row>
    <row r="100" spans="1:80" s="64" customFormat="1" ht="22" customHeight="1" x14ac:dyDescent="0.2">
      <c r="A100" s="53" t="s">
        <v>37</v>
      </c>
      <c r="B100" s="63">
        <f ca="1">TODAY()</f>
        <v>45935</v>
      </c>
      <c r="C100" s="69" t="s">
        <v>457</v>
      </c>
      <c r="D100" s="68" t="s">
        <v>232</v>
      </c>
      <c r="E100" s="64" t="s">
        <v>4</v>
      </c>
      <c r="F100" s="2" t="s">
        <v>111</v>
      </c>
      <c r="G100" s="65">
        <v>45870</v>
      </c>
      <c r="H100" s="65">
        <v>46234</v>
      </c>
      <c r="I100" s="66">
        <f ca="1">(Table26[[#This Row],[Ref Date]]-Table26[[#This Row],[Service Start Date ]])/35</f>
        <v>1.8571428571428572</v>
      </c>
      <c r="J100" s="66">
        <f>COUNTIF(Table26[[#This Row],[2025 October
Actual]:[2024 January 
Done by 2]],"&gt;=" &amp;Table26[[#This Row],[Service Start Date ]])</f>
        <v>0</v>
      </c>
      <c r="K100" s="66">
        <f ca="1">Table26[[#This Row],[Actual Services
to be done]]-Table26[[#This Row],[Completed Services]]</f>
        <v>1.8571428571428572</v>
      </c>
      <c r="L100" s="64" t="s">
        <v>119</v>
      </c>
      <c r="M100" s="67">
        <f ca="1">B100-X100</f>
        <v>75</v>
      </c>
      <c r="N100" s="65">
        <f ca="1">((B100+(-M100+35-10)))</f>
        <v>45885</v>
      </c>
      <c r="O100" s="65"/>
      <c r="P100" s="65"/>
      <c r="Q100" s="65"/>
      <c r="R100" s="65"/>
      <c r="S100" s="65"/>
      <c r="T100" s="65"/>
      <c r="U100" s="65"/>
      <c r="V100" s="65"/>
      <c r="W100" s="65"/>
      <c r="X100" s="65">
        <v>45860</v>
      </c>
      <c r="Y100" s="65" t="s">
        <v>618</v>
      </c>
      <c r="Z100" s="65"/>
      <c r="AA100" s="65"/>
      <c r="AB100" s="65"/>
      <c r="AC100" s="65"/>
      <c r="AD100" s="65">
        <v>45791</v>
      </c>
      <c r="AE100" s="65" t="s">
        <v>618</v>
      </c>
      <c r="AF100" s="65"/>
      <c r="AG100" s="65">
        <v>45770</v>
      </c>
      <c r="AH100" s="65" t="s">
        <v>622</v>
      </c>
      <c r="AI100" s="65"/>
      <c r="AJ100" s="65">
        <v>45743</v>
      </c>
      <c r="AK100" s="65" t="s">
        <v>622</v>
      </c>
      <c r="AL100" s="65"/>
      <c r="AM100" s="65">
        <v>45715</v>
      </c>
      <c r="AN100" s="65" t="s">
        <v>615</v>
      </c>
      <c r="AO100" s="65"/>
      <c r="AP100" s="65">
        <v>45687</v>
      </c>
      <c r="AQ100" s="65" t="s">
        <v>615</v>
      </c>
      <c r="AR100" s="65"/>
      <c r="AS100" s="65">
        <v>45657</v>
      </c>
      <c r="AT100" s="65" t="s">
        <v>615</v>
      </c>
      <c r="AU100" s="65"/>
      <c r="AV100" s="65">
        <v>45611</v>
      </c>
      <c r="AW100" s="65" t="s">
        <v>618</v>
      </c>
      <c r="AX100" s="65" t="s">
        <v>621</v>
      </c>
      <c r="AY100" s="65"/>
      <c r="AZ100" s="65"/>
      <c r="BA100" s="65"/>
      <c r="BB100" s="65">
        <v>45565</v>
      </c>
      <c r="BC100" s="65" t="s">
        <v>618</v>
      </c>
      <c r="BD100" s="65"/>
      <c r="BE100" s="65">
        <v>45530</v>
      </c>
      <c r="BF100" s="65" t="s">
        <v>618</v>
      </c>
      <c r="BG100" s="65"/>
      <c r="BH100" s="65"/>
      <c r="BI100" s="65"/>
      <c r="BJ100" s="65"/>
      <c r="BK100" s="65"/>
      <c r="BL100" s="65"/>
      <c r="BM100" s="65"/>
      <c r="BN100" s="65">
        <v>45443</v>
      </c>
      <c r="BO100" s="65" t="s">
        <v>621</v>
      </c>
      <c r="BP100" s="65"/>
      <c r="BQ100" s="65"/>
      <c r="BR100" s="65"/>
      <c r="BS100" s="65"/>
      <c r="BT100" s="65">
        <v>45379</v>
      </c>
      <c r="BU100" s="65" t="s">
        <v>629</v>
      </c>
      <c r="BV100" s="65"/>
      <c r="BW100" s="65">
        <v>45336</v>
      </c>
      <c r="BX100" s="65" t="s">
        <v>629</v>
      </c>
      <c r="BY100" s="65"/>
      <c r="BZ100" s="65"/>
      <c r="CA100" s="65"/>
      <c r="CB100" s="65"/>
    </row>
    <row r="101" spans="1:80" s="64" customFormat="1" ht="22" customHeight="1" x14ac:dyDescent="0.2">
      <c r="A101" s="53" t="s">
        <v>38</v>
      </c>
      <c r="B101" s="63">
        <f ca="1">TODAY()</f>
        <v>45935</v>
      </c>
      <c r="C101" s="69" t="s">
        <v>480</v>
      </c>
      <c r="D101" s="68" t="s">
        <v>299</v>
      </c>
      <c r="E101" s="64" t="s">
        <v>29</v>
      </c>
      <c r="F101" s="2" t="s">
        <v>111</v>
      </c>
      <c r="G101" s="65">
        <v>45566</v>
      </c>
      <c r="H101" s="65">
        <v>45930</v>
      </c>
      <c r="I101" s="66">
        <f ca="1">(Table26[[#This Row],[Ref Date]]-Table26[[#This Row],[Service Start Date ]])/60</f>
        <v>6.15</v>
      </c>
      <c r="J101" s="66">
        <f>COUNTIF(Table26[[#This Row],[2025 October
Actual]:[2024 January 
Done by 2]],"&gt;=" &amp;Table26[[#This Row],[Service Start Date ]])</f>
        <v>5</v>
      </c>
      <c r="K101" s="66">
        <f ca="1">Table26[[#This Row],[Actual Services
to be done]]-Table26[[#This Row],[Completed Services]]</f>
        <v>1.1500000000000004</v>
      </c>
      <c r="L101" s="64" t="s">
        <v>118</v>
      </c>
      <c r="M101" s="67">
        <f ca="1">B101-O101</f>
        <v>2</v>
      </c>
      <c r="N101" s="65">
        <f ca="1">((B101+(-M101+60)))</f>
        <v>45993</v>
      </c>
      <c r="O101" s="65">
        <v>45933</v>
      </c>
      <c r="P101" s="65" t="s">
        <v>615</v>
      </c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>
        <v>45825</v>
      </c>
      <c r="AB101" s="65" t="s">
        <v>615</v>
      </c>
      <c r="AC101" s="65"/>
      <c r="AD101" s="65"/>
      <c r="AE101" s="65"/>
      <c r="AF101" s="65"/>
      <c r="AG101" s="65">
        <v>45763</v>
      </c>
      <c r="AH101" s="65" t="s">
        <v>615</v>
      </c>
      <c r="AI101" s="65"/>
      <c r="AJ101" s="65"/>
      <c r="AK101" s="65"/>
      <c r="AL101" s="65"/>
      <c r="AM101" s="65">
        <v>45699</v>
      </c>
      <c r="AN101" s="65" t="s">
        <v>615</v>
      </c>
      <c r="AO101" s="65"/>
      <c r="AP101" s="65"/>
      <c r="AQ101" s="65"/>
      <c r="AR101" s="65"/>
      <c r="AS101" s="65">
        <v>45653</v>
      </c>
      <c r="AT101" s="65" t="s">
        <v>615</v>
      </c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>
        <v>45387</v>
      </c>
      <c r="BR101" s="65" t="s">
        <v>629</v>
      </c>
      <c r="BS101" s="65"/>
      <c r="BT101" s="65"/>
      <c r="BU101" s="65"/>
      <c r="BV101" s="65"/>
      <c r="BW101" s="65"/>
      <c r="BX101" s="65"/>
      <c r="BY101" s="65"/>
      <c r="BZ101" s="65">
        <v>45309</v>
      </c>
      <c r="CA101" s="65" t="s">
        <v>630</v>
      </c>
      <c r="CB101" s="65"/>
    </row>
    <row r="102" spans="1:80" s="64" customFormat="1" ht="22" customHeight="1" x14ac:dyDescent="0.2">
      <c r="A102" s="53" t="s">
        <v>37</v>
      </c>
      <c r="B102" s="63">
        <f ca="1">TODAY()</f>
        <v>45935</v>
      </c>
      <c r="C102" s="69" t="s">
        <v>581</v>
      </c>
      <c r="D102" s="68" t="s">
        <v>308</v>
      </c>
      <c r="E102" s="64" t="s">
        <v>14</v>
      </c>
      <c r="F102" s="2" t="s">
        <v>112</v>
      </c>
      <c r="G102" s="65">
        <v>45870</v>
      </c>
      <c r="H102" s="65">
        <v>46234</v>
      </c>
      <c r="I102" s="66">
        <f ca="1">(Table26[[#This Row],[Ref Date]]-Table26[[#This Row],[Service Start Date ]])/35</f>
        <v>1.8571428571428572</v>
      </c>
      <c r="J102" s="66">
        <f>COUNTIF(Table26[[#This Row],[2025 October
Actual]:[2024 January 
Done by 2]],"&gt;=" &amp;Table26[[#This Row],[Service Start Date ]])</f>
        <v>1</v>
      </c>
      <c r="K102" s="66">
        <f ca="1">Table26[[#This Row],[Actual Services
to be done]]-Table26[[#This Row],[Completed Services]]</f>
        <v>0.85714285714285721</v>
      </c>
      <c r="L102" s="64" t="s">
        <v>119</v>
      </c>
      <c r="M102" s="67">
        <f ca="1">B102-R102</f>
        <v>17</v>
      </c>
      <c r="N102" s="65">
        <f ca="1">((B102+(-M102+35-10)))</f>
        <v>45943</v>
      </c>
      <c r="O102" s="65"/>
      <c r="P102" s="65"/>
      <c r="Q102" s="65"/>
      <c r="R102" s="65">
        <v>45918</v>
      </c>
      <c r="S102" s="65" t="s">
        <v>615</v>
      </c>
      <c r="T102" s="65"/>
      <c r="U102" s="65"/>
      <c r="V102" s="65"/>
      <c r="W102" s="65"/>
      <c r="X102" s="65"/>
      <c r="Y102" s="65"/>
      <c r="Z102" s="65"/>
      <c r="AA102" s="65">
        <v>45818</v>
      </c>
      <c r="AB102" s="65" t="s">
        <v>618</v>
      </c>
      <c r="AC102" s="65"/>
      <c r="AD102" s="65">
        <v>45792</v>
      </c>
      <c r="AE102" s="65" t="s">
        <v>615</v>
      </c>
      <c r="AF102" s="65"/>
      <c r="AG102" s="65">
        <v>45761</v>
      </c>
      <c r="AH102" s="65" t="s">
        <v>622</v>
      </c>
      <c r="AI102" s="65"/>
      <c r="AJ102" s="65"/>
      <c r="AK102" s="65"/>
      <c r="AL102" s="65"/>
      <c r="AM102" s="65">
        <v>45715</v>
      </c>
      <c r="AN102" s="65" t="s">
        <v>615</v>
      </c>
      <c r="AO102" s="65"/>
      <c r="AP102" s="65">
        <v>45684</v>
      </c>
      <c r="AQ102" s="65" t="s">
        <v>615</v>
      </c>
      <c r="AR102" s="65"/>
      <c r="AS102" s="65">
        <v>45642</v>
      </c>
      <c r="AT102" s="65" t="s">
        <v>615</v>
      </c>
      <c r="AU102" s="65"/>
      <c r="AV102" s="65">
        <v>45601</v>
      </c>
      <c r="AW102" s="65" t="s">
        <v>622</v>
      </c>
      <c r="AX102" s="65"/>
      <c r="AY102" s="65">
        <v>45569</v>
      </c>
      <c r="AZ102" s="95" t="s">
        <v>622</v>
      </c>
      <c r="BA102" s="65"/>
      <c r="BB102" s="65">
        <v>45547</v>
      </c>
      <c r="BC102" s="65" t="s">
        <v>618</v>
      </c>
      <c r="BD102" s="65"/>
      <c r="BE102" s="65">
        <v>45516</v>
      </c>
      <c r="BF102" s="65" t="s">
        <v>622</v>
      </c>
      <c r="BG102" s="65"/>
      <c r="BH102" s="65"/>
      <c r="BI102" s="65"/>
      <c r="BJ102" s="65"/>
      <c r="BK102" s="65"/>
      <c r="BL102" s="65"/>
      <c r="BM102" s="65"/>
      <c r="BN102" s="65">
        <v>45432</v>
      </c>
      <c r="BO102" s="65" t="s">
        <v>628</v>
      </c>
      <c r="BP102" s="65"/>
      <c r="BQ102" s="65">
        <v>45395</v>
      </c>
      <c r="BR102" s="65" t="s">
        <v>629</v>
      </c>
      <c r="BS102" s="65"/>
      <c r="BT102" s="65"/>
      <c r="BU102" s="65"/>
      <c r="BV102" s="65"/>
      <c r="BW102" s="65">
        <v>45348</v>
      </c>
      <c r="BX102" s="65" t="s">
        <v>631</v>
      </c>
      <c r="BY102" s="65"/>
      <c r="BZ102" s="65">
        <v>45310</v>
      </c>
      <c r="CA102" s="65" t="s">
        <v>630</v>
      </c>
      <c r="CB102" s="65"/>
    </row>
    <row r="103" spans="1:80" s="64" customFormat="1" ht="22" customHeight="1" x14ac:dyDescent="0.2">
      <c r="A103" s="53" t="s">
        <v>37</v>
      </c>
      <c r="B103" s="63">
        <f ca="1">TODAY()</f>
        <v>45935</v>
      </c>
      <c r="C103" s="69" t="s">
        <v>473</v>
      </c>
      <c r="D103" s="68" t="s">
        <v>331</v>
      </c>
      <c r="E103" s="64" t="s">
        <v>26</v>
      </c>
      <c r="F103" s="2" t="s">
        <v>111</v>
      </c>
      <c r="G103" s="65">
        <v>45717</v>
      </c>
      <c r="H103" s="65">
        <v>46081</v>
      </c>
      <c r="I103" s="66">
        <f ca="1">(Table26[[#This Row],[Ref Date]]-Table26[[#This Row],[Service Start Date ]])/35</f>
        <v>6.2285714285714286</v>
      </c>
      <c r="J103" s="66">
        <f>COUNTIF(Table26[[#This Row],[2025 October
Actual]:[2024 January 
Done by 2]],"&gt;=" &amp;Table26[[#This Row],[Service Start Date ]])</f>
        <v>5</v>
      </c>
      <c r="K103" s="66">
        <f ca="1">Table26[[#This Row],[Actual Services
to be done]]-Table26[[#This Row],[Completed Services]]</f>
        <v>1.2285714285714286</v>
      </c>
      <c r="L103" s="64" t="s">
        <v>119</v>
      </c>
      <c r="M103" s="67">
        <f ca="1">B103-R103</f>
        <v>27</v>
      </c>
      <c r="N103" s="65">
        <f ca="1">((B103+(-M103+35-10)))</f>
        <v>45933</v>
      </c>
      <c r="O103" s="65"/>
      <c r="P103" s="65"/>
      <c r="Q103" s="65"/>
      <c r="R103" s="65">
        <v>45908</v>
      </c>
      <c r="S103" s="65" t="s">
        <v>621</v>
      </c>
      <c r="T103" s="65"/>
      <c r="U103" s="65"/>
      <c r="V103" s="65"/>
      <c r="W103" s="65"/>
      <c r="X103" s="65">
        <v>45860</v>
      </c>
      <c r="Y103" s="65" t="s">
        <v>618</v>
      </c>
      <c r="Z103" s="65"/>
      <c r="AA103" s="65"/>
      <c r="AB103" s="65"/>
      <c r="AC103" s="65"/>
      <c r="AD103" s="65">
        <v>45787</v>
      </c>
      <c r="AE103" s="65" t="s">
        <v>615</v>
      </c>
      <c r="AF103" s="65"/>
      <c r="AG103" s="65">
        <v>45757</v>
      </c>
      <c r="AH103" s="65" t="s">
        <v>618</v>
      </c>
      <c r="AI103" s="65"/>
      <c r="AJ103" s="65">
        <v>45728</v>
      </c>
      <c r="AK103" s="65" t="s">
        <v>615</v>
      </c>
      <c r="AL103" s="65"/>
      <c r="AM103" s="65">
        <v>45699</v>
      </c>
      <c r="AN103" s="65" t="s">
        <v>622</v>
      </c>
      <c r="AO103" s="65"/>
      <c r="AP103" s="65"/>
      <c r="AQ103" s="65"/>
      <c r="AR103" s="65"/>
      <c r="AS103" s="65">
        <v>45657</v>
      </c>
      <c r="AT103" s="65" t="s">
        <v>615</v>
      </c>
      <c r="AU103" s="65"/>
      <c r="AV103" s="65">
        <v>45619</v>
      </c>
      <c r="AW103" s="65" t="s">
        <v>618</v>
      </c>
      <c r="AX103" s="65"/>
      <c r="AY103" s="65">
        <v>45570</v>
      </c>
      <c r="AZ103" s="65" t="s">
        <v>618</v>
      </c>
      <c r="BA103" s="65"/>
      <c r="BB103" s="65"/>
      <c r="BC103" s="65"/>
      <c r="BD103" s="65"/>
      <c r="BE103" s="65">
        <v>45530</v>
      </c>
      <c r="BF103" s="65" t="s">
        <v>618</v>
      </c>
      <c r="BG103" s="65"/>
      <c r="BH103" s="65"/>
      <c r="BI103" s="65"/>
      <c r="BJ103" s="65"/>
      <c r="BK103" s="65"/>
      <c r="BL103" s="65"/>
      <c r="BM103" s="65"/>
      <c r="BN103" s="65">
        <v>45435</v>
      </c>
      <c r="BO103" s="65" t="s">
        <v>621</v>
      </c>
      <c r="BP103" s="65"/>
      <c r="BQ103" s="65"/>
      <c r="BR103" s="65"/>
      <c r="BS103" s="65"/>
      <c r="BT103" s="87">
        <v>45379</v>
      </c>
      <c r="BU103" s="87" t="s">
        <v>629</v>
      </c>
      <c r="BV103" s="65"/>
      <c r="BW103" s="65">
        <v>45351</v>
      </c>
      <c r="BX103" s="65" t="s">
        <v>630</v>
      </c>
      <c r="BY103" s="65"/>
      <c r="BZ103" s="65"/>
      <c r="CA103" s="65"/>
      <c r="CB103" s="65"/>
    </row>
    <row r="104" spans="1:80" s="64" customFormat="1" ht="22" customHeight="1" x14ac:dyDescent="0.2">
      <c r="A104" s="53" t="s">
        <v>37</v>
      </c>
      <c r="B104" s="63">
        <f ca="1">TODAY()</f>
        <v>45935</v>
      </c>
      <c r="C104" s="69" t="s">
        <v>460</v>
      </c>
      <c r="D104" s="68" t="s">
        <v>247</v>
      </c>
      <c r="E104" s="64" t="s">
        <v>2</v>
      </c>
      <c r="F104" s="2" t="s">
        <v>112</v>
      </c>
      <c r="G104" s="65">
        <v>45824</v>
      </c>
      <c r="H104" s="65">
        <v>46188</v>
      </c>
      <c r="I104" s="66">
        <f ca="1">(Table26[[#This Row],[Ref Date]]-Table26[[#This Row],[Service Start Date ]])/35</f>
        <v>3.1714285714285713</v>
      </c>
      <c r="J104" s="66">
        <f>COUNTIF(Table26[[#This Row],[2025 October
Actual]:[2024 January 
Done by 2]],"&gt;=" &amp;Table26[[#This Row],[Service Start Date ]])</f>
        <v>2</v>
      </c>
      <c r="K104" s="66">
        <f ca="1">Table26[[#This Row],[Actual Services
to be done]]-Table26[[#This Row],[Completed Services]]</f>
        <v>1.1714285714285713</v>
      </c>
      <c r="L104" s="64" t="s">
        <v>119</v>
      </c>
      <c r="M104" s="67">
        <f ca="1">B104-R104</f>
        <v>10</v>
      </c>
      <c r="N104" s="65">
        <f ca="1">((B104+(-M104+35-10)))</f>
        <v>45950</v>
      </c>
      <c r="O104" s="65"/>
      <c r="P104" s="65"/>
      <c r="Q104" s="65"/>
      <c r="R104" s="65">
        <v>45925</v>
      </c>
      <c r="S104" s="65" t="s">
        <v>617</v>
      </c>
      <c r="T104" s="65"/>
      <c r="U104" s="65"/>
      <c r="V104" s="65"/>
      <c r="W104" s="65"/>
      <c r="X104" s="65">
        <v>45855</v>
      </c>
      <c r="Y104" s="65" t="s">
        <v>618</v>
      </c>
      <c r="Z104" s="65"/>
      <c r="AA104" s="65"/>
      <c r="AB104" s="65"/>
      <c r="AC104" s="65"/>
      <c r="AD104" s="65">
        <v>45786</v>
      </c>
      <c r="AE104" s="65" t="s">
        <v>622</v>
      </c>
      <c r="AF104" s="65"/>
      <c r="AG104" s="65">
        <v>45751</v>
      </c>
      <c r="AH104" s="65" t="s">
        <v>622</v>
      </c>
      <c r="AI104" s="65"/>
      <c r="AJ104" s="65">
        <v>45722</v>
      </c>
      <c r="AK104" s="65" t="s">
        <v>622</v>
      </c>
      <c r="AL104" s="65"/>
      <c r="AM104" s="65">
        <v>45693</v>
      </c>
      <c r="AN104" s="65" t="s">
        <v>622</v>
      </c>
      <c r="AO104" s="65"/>
      <c r="AP104" s="65">
        <v>45666</v>
      </c>
      <c r="AQ104" s="65" t="s">
        <v>622</v>
      </c>
      <c r="AR104" s="65"/>
      <c r="AS104" s="65">
        <v>45636</v>
      </c>
      <c r="AT104" s="65" t="s">
        <v>615</v>
      </c>
      <c r="AU104" s="65"/>
      <c r="AV104" s="65">
        <v>45609</v>
      </c>
      <c r="AW104" s="65" t="s">
        <v>622</v>
      </c>
      <c r="AX104" s="65"/>
      <c r="AY104" s="65">
        <v>45572</v>
      </c>
      <c r="AZ104" s="95" t="s">
        <v>622</v>
      </c>
      <c r="BA104" s="65"/>
      <c r="BB104" s="65">
        <v>45549</v>
      </c>
      <c r="BC104" s="65" t="s">
        <v>615</v>
      </c>
      <c r="BD104" s="65"/>
      <c r="BE104" s="65">
        <v>45509</v>
      </c>
      <c r="BF104" s="65" t="s">
        <v>622</v>
      </c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>
        <v>45405</v>
      </c>
      <c r="BR104" s="65" t="s">
        <v>629</v>
      </c>
      <c r="BS104" s="65"/>
      <c r="BT104" s="65">
        <v>45366</v>
      </c>
      <c r="BU104" s="65" t="s">
        <v>629</v>
      </c>
      <c r="BV104" s="65"/>
      <c r="BW104" s="65">
        <v>45332</v>
      </c>
      <c r="BX104" s="65" t="s">
        <v>629</v>
      </c>
      <c r="BY104" s="65"/>
      <c r="BZ104" s="65">
        <v>45300</v>
      </c>
      <c r="CA104" s="65" t="s">
        <v>629</v>
      </c>
      <c r="CB104" s="65"/>
    </row>
    <row r="105" spans="1:80" s="64" customFormat="1" ht="22" customHeight="1" x14ac:dyDescent="0.2">
      <c r="A105" s="53" t="s">
        <v>37</v>
      </c>
      <c r="B105" s="63">
        <f ca="1">TODAY()</f>
        <v>45935</v>
      </c>
      <c r="C105" s="69" t="s">
        <v>524</v>
      </c>
      <c r="D105" s="68" t="s">
        <v>276</v>
      </c>
      <c r="E105" s="64" t="s">
        <v>8</v>
      </c>
      <c r="F105" s="2" t="s">
        <v>111</v>
      </c>
      <c r="G105" s="65">
        <v>45690</v>
      </c>
      <c r="H105" s="65">
        <v>46055</v>
      </c>
      <c r="I105" s="66">
        <f ca="1">(Table26[[#This Row],[Ref Date]]-Table26[[#This Row],[Service Start Date ]])/35</f>
        <v>7</v>
      </c>
      <c r="J105" s="66">
        <f>COUNTIF(Table26[[#This Row],[2025 October
Actual]:[2024 January 
Done by 2]],"&gt;=" &amp;Table26[[#This Row],[Service Start Date ]])</f>
        <v>5</v>
      </c>
      <c r="K105" s="66">
        <f ca="1">Table26[[#This Row],[Actual Services
to be done]]-Table26[[#This Row],[Completed Services]]</f>
        <v>2</v>
      </c>
      <c r="L105" s="64" t="s">
        <v>119</v>
      </c>
      <c r="M105" s="67">
        <f ca="1">B105-R105</f>
        <v>12</v>
      </c>
      <c r="N105" s="65">
        <f ca="1">((B105+(-M105+35-10)))</f>
        <v>45948</v>
      </c>
      <c r="O105" s="65"/>
      <c r="P105" s="65"/>
      <c r="Q105" s="65"/>
      <c r="R105" s="65">
        <v>45923</v>
      </c>
      <c r="S105" s="65" t="s">
        <v>615</v>
      </c>
      <c r="T105" s="65"/>
      <c r="U105" s="65"/>
      <c r="V105" s="65"/>
      <c r="W105" s="65"/>
      <c r="X105" s="65"/>
      <c r="Y105" s="65"/>
      <c r="Z105" s="65"/>
      <c r="AA105" s="65">
        <v>45812</v>
      </c>
      <c r="AB105" s="65" t="s">
        <v>618</v>
      </c>
      <c r="AC105" s="65"/>
      <c r="AD105" s="65"/>
      <c r="AE105" s="65"/>
      <c r="AF105" s="65"/>
      <c r="AG105" s="65">
        <v>45777</v>
      </c>
      <c r="AH105" s="65" t="s">
        <v>622</v>
      </c>
      <c r="AI105" s="65"/>
      <c r="AJ105" s="65">
        <v>45743</v>
      </c>
      <c r="AK105" s="65" t="s">
        <v>622</v>
      </c>
      <c r="AL105" s="65"/>
      <c r="AM105" s="65">
        <v>45709</v>
      </c>
      <c r="AN105" s="65" t="s">
        <v>622</v>
      </c>
      <c r="AO105" s="65"/>
      <c r="AP105" s="65">
        <v>45686</v>
      </c>
      <c r="AQ105" s="65" t="s">
        <v>615</v>
      </c>
      <c r="AR105" s="65"/>
      <c r="AS105" s="65">
        <v>45643</v>
      </c>
      <c r="AT105" s="65" t="s">
        <v>615</v>
      </c>
      <c r="AU105" s="65"/>
      <c r="AV105" s="65">
        <v>45614</v>
      </c>
      <c r="AW105" s="65" t="s">
        <v>615</v>
      </c>
      <c r="AX105" s="65"/>
      <c r="AY105" s="65">
        <v>45577</v>
      </c>
      <c r="AZ105" s="95" t="s">
        <v>622</v>
      </c>
      <c r="BA105" s="65"/>
      <c r="BB105" s="65">
        <v>45547</v>
      </c>
      <c r="BC105" s="65" t="s">
        <v>618</v>
      </c>
      <c r="BD105" s="65"/>
      <c r="BE105" s="65">
        <v>45514</v>
      </c>
      <c r="BF105" s="65" t="s">
        <v>622</v>
      </c>
      <c r="BG105" s="65"/>
      <c r="BH105" s="65"/>
      <c r="BI105" s="65"/>
      <c r="BJ105" s="65"/>
      <c r="BK105" s="65"/>
      <c r="BL105" s="65"/>
      <c r="BM105" s="65"/>
      <c r="BN105" s="65">
        <v>45434</v>
      </c>
      <c r="BO105" s="65" t="s">
        <v>626</v>
      </c>
      <c r="BP105" s="65"/>
      <c r="BQ105" s="65">
        <v>45388</v>
      </c>
      <c r="BR105" s="65" t="s">
        <v>629</v>
      </c>
      <c r="BS105" s="65"/>
      <c r="BT105" s="65"/>
      <c r="BU105" s="65"/>
      <c r="BV105" s="65"/>
      <c r="BW105" s="65">
        <v>45338</v>
      </c>
      <c r="BX105" s="65" t="s">
        <v>631</v>
      </c>
      <c r="BY105" s="65"/>
      <c r="BZ105" s="65"/>
      <c r="CA105" s="65"/>
      <c r="CB105" s="65"/>
    </row>
    <row r="106" spans="1:80" s="64" customFormat="1" ht="22" customHeight="1" x14ac:dyDescent="0.2">
      <c r="A106" s="53" t="s">
        <v>38</v>
      </c>
      <c r="B106" s="63">
        <f ca="1">TODAY()</f>
        <v>45935</v>
      </c>
      <c r="C106" s="69" t="s">
        <v>455</v>
      </c>
      <c r="D106" s="68" t="s">
        <v>323</v>
      </c>
      <c r="E106" s="64" t="s">
        <v>50</v>
      </c>
      <c r="F106" s="2" t="s">
        <v>112</v>
      </c>
      <c r="G106" s="65">
        <v>45505</v>
      </c>
      <c r="H106" s="65">
        <v>45869</v>
      </c>
      <c r="I106" s="66">
        <v>10</v>
      </c>
      <c r="J106" s="66">
        <f>COUNTIF(Table26[[#This Row],[2025 October
Actual]:[2024 January 
Done by 2]],"&gt;=" &amp;Table26[[#This Row],[Service Start Date ]])</f>
        <v>12</v>
      </c>
      <c r="K106" s="66">
        <f>Table26[[#This Row],[Actual Services
to be done]]-Table26[[#This Row],[Completed Services]]</f>
        <v>-2</v>
      </c>
      <c r="L106" s="64" t="s">
        <v>119</v>
      </c>
      <c r="M106" s="67">
        <f ca="1">B106-R106</f>
        <v>12</v>
      </c>
      <c r="N106" s="65">
        <f ca="1">((B106+(-M106+35+10)))</f>
        <v>45968</v>
      </c>
      <c r="O106" s="65"/>
      <c r="P106" s="65"/>
      <c r="Q106" s="65"/>
      <c r="R106" s="65">
        <v>45923</v>
      </c>
      <c r="S106" s="65" t="s">
        <v>620</v>
      </c>
      <c r="T106" s="65"/>
      <c r="U106" s="65"/>
      <c r="V106" s="65"/>
      <c r="W106" s="65"/>
      <c r="X106" s="65">
        <v>45847</v>
      </c>
      <c r="Y106" s="65" t="s">
        <v>620</v>
      </c>
      <c r="Z106" s="65"/>
      <c r="AA106" s="65">
        <v>45813</v>
      </c>
      <c r="AB106" s="65" t="s">
        <v>618</v>
      </c>
      <c r="AC106" s="65"/>
      <c r="AD106" s="65"/>
      <c r="AE106" s="65"/>
      <c r="AF106" s="65"/>
      <c r="AG106" s="65">
        <v>45756</v>
      </c>
      <c r="AH106" s="65" t="s">
        <v>622</v>
      </c>
      <c r="AI106" s="65"/>
      <c r="AJ106" s="65">
        <v>45720</v>
      </c>
      <c r="AK106" s="65" t="s">
        <v>622</v>
      </c>
      <c r="AL106" s="65"/>
      <c r="AM106" s="65">
        <v>45700</v>
      </c>
      <c r="AN106" s="65" t="s">
        <v>622</v>
      </c>
      <c r="AO106" s="65"/>
      <c r="AP106" s="65">
        <v>45681</v>
      </c>
      <c r="AQ106" s="65" t="s">
        <v>622</v>
      </c>
      <c r="AR106" s="65"/>
      <c r="AS106" s="65">
        <v>45650</v>
      </c>
      <c r="AT106" s="65" t="s">
        <v>615</v>
      </c>
      <c r="AU106" s="65"/>
      <c r="AV106" s="65">
        <v>45615</v>
      </c>
      <c r="AW106" s="65" t="s">
        <v>622</v>
      </c>
      <c r="AX106" s="65"/>
      <c r="AY106" s="65">
        <v>45570</v>
      </c>
      <c r="AZ106" s="95" t="s">
        <v>622</v>
      </c>
      <c r="BA106" s="65"/>
      <c r="BB106" s="65">
        <v>45544</v>
      </c>
      <c r="BC106" s="65" t="s">
        <v>622</v>
      </c>
      <c r="BD106" s="65"/>
      <c r="BE106" s="65">
        <v>45513</v>
      </c>
      <c r="BF106" s="65" t="s">
        <v>622</v>
      </c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>
        <v>45363</v>
      </c>
      <c r="BU106" s="65" t="s">
        <v>629</v>
      </c>
      <c r="BV106" s="65"/>
      <c r="BW106" s="65"/>
      <c r="BX106" s="65"/>
      <c r="BY106" s="65"/>
      <c r="BZ106" s="65">
        <v>45322</v>
      </c>
      <c r="CA106" s="65" t="s">
        <v>629</v>
      </c>
      <c r="CB106" s="65"/>
    </row>
    <row r="107" spans="1:80" s="64" customFormat="1" ht="22" customHeight="1" x14ac:dyDescent="0.2">
      <c r="A107" s="53" t="s">
        <v>37</v>
      </c>
      <c r="B107" s="63">
        <f ca="1">TODAY()</f>
        <v>45935</v>
      </c>
      <c r="C107" s="69" t="s">
        <v>534</v>
      </c>
      <c r="D107" s="68" t="s">
        <v>352</v>
      </c>
      <c r="E107" s="64" t="s">
        <v>167</v>
      </c>
      <c r="F107" s="2" t="s">
        <v>111</v>
      </c>
      <c r="G107" s="65">
        <v>45592</v>
      </c>
      <c r="H107" s="65">
        <v>45956</v>
      </c>
      <c r="I107" s="66">
        <f ca="1">(Table26[[#This Row],[Ref Date]]-Table26[[#This Row],[Service Start Date ]])/35</f>
        <v>9.8000000000000007</v>
      </c>
      <c r="J107" s="66">
        <f>COUNTIF(Table26[[#This Row],[2025 October
Actual]:[2024 January 
Done by 2]],"&gt;=" &amp;Table26[[#This Row],[Service Start Date ]])</f>
        <v>9</v>
      </c>
      <c r="K107" s="66">
        <f ca="1">Table26[[#This Row],[Actual Services
to be done]]-Table26[[#This Row],[Completed Services]]</f>
        <v>0.80000000000000071</v>
      </c>
      <c r="L107" s="64" t="s">
        <v>119</v>
      </c>
      <c r="M107" s="67">
        <f ca="1">B107-R107</f>
        <v>13</v>
      </c>
      <c r="N107" s="65">
        <f ca="1">((B107+(-M107+35-10)))</f>
        <v>45947</v>
      </c>
      <c r="O107" s="65"/>
      <c r="P107" s="65"/>
      <c r="Q107" s="65"/>
      <c r="R107" s="65">
        <v>45922</v>
      </c>
      <c r="S107" s="65" t="s">
        <v>615</v>
      </c>
      <c r="T107" s="65"/>
      <c r="U107" s="65"/>
      <c r="V107" s="65"/>
      <c r="W107" s="65"/>
      <c r="X107" s="65"/>
      <c r="Y107" s="65"/>
      <c r="Z107" s="65"/>
      <c r="AA107" s="65">
        <v>45818</v>
      </c>
      <c r="AB107" s="65" t="s">
        <v>618</v>
      </c>
      <c r="AC107" s="65"/>
      <c r="AD107" s="65">
        <v>45785</v>
      </c>
      <c r="AE107" s="65" t="s">
        <v>615</v>
      </c>
      <c r="AF107" s="65"/>
      <c r="AG107" s="65">
        <v>45748</v>
      </c>
      <c r="AH107" s="65" t="s">
        <v>618</v>
      </c>
      <c r="AI107" s="65"/>
      <c r="AJ107" s="65">
        <v>45721</v>
      </c>
      <c r="AK107" s="65" t="s">
        <v>615</v>
      </c>
      <c r="AL107" s="65"/>
      <c r="AM107" s="65"/>
      <c r="AN107" s="65"/>
      <c r="AO107" s="65"/>
      <c r="AP107" s="65">
        <v>45688</v>
      </c>
      <c r="AQ107" s="65" t="s">
        <v>615</v>
      </c>
      <c r="AR107" s="65"/>
      <c r="AS107" s="65">
        <v>45653</v>
      </c>
      <c r="AT107" s="65" t="s">
        <v>615</v>
      </c>
      <c r="AU107" s="65"/>
      <c r="AV107" s="65">
        <v>45618</v>
      </c>
      <c r="AW107" s="65" t="s">
        <v>615</v>
      </c>
      <c r="AX107" s="65"/>
      <c r="AY107" s="65">
        <v>45593</v>
      </c>
      <c r="AZ107" s="65" t="s">
        <v>618</v>
      </c>
      <c r="BA107" s="65" t="s">
        <v>621</v>
      </c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</row>
    <row r="108" spans="1:80" s="64" customFormat="1" ht="22" customHeight="1" x14ac:dyDescent="0.2">
      <c r="A108" s="53" t="s">
        <v>37</v>
      </c>
      <c r="B108" s="63">
        <f ca="1">TODAY()</f>
        <v>45935</v>
      </c>
      <c r="C108" s="69" t="s">
        <v>503</v>
      </c>
      <c r="D108" s="68" t="s">
        <v>397</v>
      </c>
      <c r="E108" s="126" t="s">
        <v>29</v>
      </c>
      <c r="F108" s="2" t="s">
        <v>111</v>
      </c>
      <c r="G108" s="65">
        <v>45675</v>
      </c>
      <c r="H108" s="65">
        <v>46039</v>
      </c>
      <c r="I108" s="66">
        <f ca="1">(Table26[[#This Row],[Ref Date]]-Table26[[#This Row],[Service Start Date ]])/60</f>
        <v>4.333333333333333</v>
      </c>
      <c r="J108" s="66">
        <f>COUNTIF(Table26[[#This Row],[2025 October
Actual]:[2024 January 
Done by 2]],"&gt;=" &amp;Table26[[#This Row],[Service Start Date ]])</f>
        <v>4</v>
      </c>
      <c r="K108" s="66">
        <f ca="1">Table26[[#This Row],[Actual Services
to be done]]-Table26[[#This Row],[Completed Services]]</f>
        <v>0.33333333333333304</v>
      </c>
      <c r="L108" s="64" t="s">
        <v>118</v>
      </c>
      <c r="M108" s="67">
        <f ca="1">B108-R108</f>
        <v>11</v>
      </c>
      <c r="N108" s="65">
        <f ca="1">((B108+(-M108+60-10)))</f>
        <v>45974</v>
      </c>
      <c r="O108" s="65"/>
      <c r="P108" s="65"/>
      <c r="Q108" s="65"/>
      <c r="R108" s="65">
        <v>45924</v>
      </c>
      <c r="S108" s="65" t="s">
        <v>615</v>
      </c>
      <c r="T108" s="65"/>
      <c r="U108" s="65"/>
      <c r="V108" s="65"/>
      <c r="W108" s="65"/>
      <c r="X108" s="65"/>
      <c r="Y108" s="65"/>
      <c r="Z108" s="65"/>
      <c r="AA108" s="65">
        <v>45823</v>
      </c>
      <c r="AB108" s="65" t="s">
        <v>615</v>
      </c>
      <c r="AC108" s="65"/>
      <c r="AD108" s="65"/>
      <c r="AE108" s="65"/>
      <c r="AF108" s="65"/>
      <c r="AG108" s="65"/>
      <c r="AH108" s="65"/>
      <c r="AI108" s="65"/>
      <c r="AJ108" s="65">
        <v>45745</v>
      </c>
      <c r="AK108" s="65" t="s">
        <v>618</v>
      </c>
      <c r="AL108" s="65"/>
      <c r="AM108" s="65"/>
      <c r="AN108" s="65"/>
      <c r="AO108" s="65"/>
      <c r="AP108" s="65">
        <v>45686</v>
      </c>
      <c r="AQ108" s="65" t="s">
        <v>615</v>
      </c>
      <c r="AR108" s="65"/>
      <c r="AS108" s="65">
        <v>45639</v>
      </c>
      <c r="AT108" s="65" t="s">
        <v>615</v>
      </c>
      <c r="AU108" s="65"/>
      <c r="AV108" s="65"/>
      <c r="AW108" s="65"/>
      <c r="AX108" s="65"/>
      <c r="AY108" s="65">
        <v>45584</v>
      </c>
      <c r="AZ108" s="65" t="s">
        <v>618</v>
      </c>
      <c r="BA108" s="65"/>
      <c r="BB108" s="65"/>
      <c r="BC108" s="65"/>
      <c r="BD108" s="65"/>
      <c r="BE108" s="65">
        <v>45535</v>
      </c>
      <c r="BF108" s="65" t="s">
        <v>615</v>
      </c>
      <c r="BG108" s="65"/>
      <c r="BH108" s="65"/>
      <c r="BI108" s="65"/>
      <c r="BJ108" s="65"/>
      <c r="BK108" s="65"/>
      <c r="BL108" s="65"/>
      <c r="BM108" s="65"/>
      <c r="BN108" s="65">
        <v>45429</v>
      </c>
      <c r="BO108" s="65" t="s">
        <v>626</v>
      </c>
      <c r="BP108" s="65"/>
      <c r="BQ108" s="65"/>
      <c r="BR108" s="65"/>
      <c r="BS108" s="65"/>
      <c r="BT108" s="65"/>
      <c r="BU108" s="65"/>
      <c r="BV108" s="65"/>
      <c r="BW108" s="65">
        <v>45331</v>
      </c>
      <c r="BX108" s="65" t="s">
        <v>629</v>
      </c>
      <c r="BY108" s="65"/>
      <c r="BZ108" s="65"/>
      <c r="CA108" s="65"/>
      <c r="CB108" s="65"/>
    </row>
    <row r="109" spans="1:80" s="64" customFormat="1" ht="22" customHeight="1" x14ac:dyDescent="0.2">
      <c r="A109" s="53" t="s">
        <v>37</v>
      </c>
      <c r="B109" s="63">
        <f ca="1">TODAY()</f>
        <v>45935</v>
      </c>
      <c r="C109" s="69" t="s">
        <v>518</v>
      </c>
      <c r="D109" s="68" t="s">
        <v>401</v>
      </c>
      <c r="E109" s="85" t="s">
        <v>17</v>
      </c>
      <c r="F109" s="2" t="s">
        <v>111</v>
      </c>
      <c r="G109" s="65">
        <v>45611</v>
      </c>
      <c r="H109" s="65">
        <v>45975</v>
      </c>
      <c r="I109" s="66">
        <f ca="1">(Table26[[#This Row],[Ref Date]]-Table26[[#This Row],[Service Start Date ]])/35</f>
        <v>9.257142857142858</v>
      </c>
      <c r="J109" s="66">
        <f>COUNTIF(Table26[[#This Row],[2025 October
Actual]:[2024 January 
Done by 2]],"&gt;=" &amp;Table26[[#This Row],[Service Start Date ]])</f>
        <v>8</v>
      </c>
      <c r="K109" s="66">
        <f ca="1">Table26[[#This Row],[Actual Services
to be done]]-Table26[[#This Row],[Completed Services]]</f>
        <v>1.257142857142858</v>
      </c>
      <c r="L109" s="64" t="s">
        <v>119</v>
      </c>
      <c r="M109" s="67">
        <f ca="1">B109-R109</f>
        <v>9</v>
      </c>
      <c r="N109" s="65">
        <f ca="1">((B109+(-M109+35-10)))</f>
        <v>45951</v>
      </c>
      <c r="O109" s="65"/>
      <c r="P109" s="65"/>
      <c r="Q109" s="65"/>
      <c r="R109" s="65">
        <v>45926</v>
      </c>
      <c r="S109" s="65" t="s">
        <v>618</v>
      </c>
      <c r="T109" s="65"/>
      <c r="U109" s="65"/>
      <c r="V109" s="65"/>
      <c r="W109" s="65"/>
      <c r="X109" s="65"/>
      <c r="Y109" s="65"/>
      <c r="Z109" s="65"/>
      <c r="AA109" s="65">
        <v>45838</v>
      </c>
      <c r="AB109" s="65" t="s">
        <v>618</v>
      </c>
      <c r="AC109" s="65"/>
      <c r="AD109" s="65">
        <v>45791</v>
      </c>
      <c r="AE109" s="65" t="s">
        <v>618</v>
      </c>
      <c r="AF109" s="65"/>
      <c r="AG109" s="65">
        <v>45768</v>
      </c>
      <c r="AH109" s="65" t="s">
        <v>615</v>
      </c>
      <c r="AI109" s="65"/>
      <c r="AJ109" s="65"/>
      <c r="AK109" s="65"/>
      <c r="AL109" s="65"/>
      <c r="AM109" s="65">
        <v>45715</v>
      </c>
      <c r="AN109" s="65" t="s">
        <v>615</v>
      </c>
      <c r="AO109" s="65"/>
      <c r="AP109" s="65">
        <v>45685</v>
      </c>
      <c r="AQ109" s="65" t="s">
        <v>615</v>
      </c>
      <c r="AR109" s="65"/>
      <c r="AS109" s="65">
        <v>45642</v>
      </c>
      <c r="AT109" s="65" t="s">
        <v>618</v>
      </c>
      <c r="AU109" s="65"/>
      <c r="AV109" s="65">
        <v>45612</v>
      </c>
      <c r="AW109" s="65" t="s">
        <v>615</v>
      </c>
      <c r="AX109" s="65"/>
      <c r="AY109" s="65">
        <v>45579</v>
      </c>
      <c r="AZ109" s="65" t="s">
        <v>618</v>
      </c>
      <c r="BA109" s="65"/>
      <c r="BB109" s="65">
        <v>45566</v>
      </c>
      <c r="BC109" s="65" t="s">
        <v>618</v>
      </c>
      <c r="BD109" s="65"/>
      <c r="BE109" s="65">
        <v>45513</v>
      </c>
      <c r="BF109" s="65" t="s">
        <v>615</v>
      </c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>
        <v>45393</v>
      </c>
      <c r="BR109" s="65" t="s">
        <v>629</v>
      </c>
      <c r="BS109" s="65"/>
      <c r="BT109" s="65"/>
      <c r="BU109" s="65"/>
      <c r="BV109" s="65"/>
      <c r="BW109" s="65">
        <v>45345</v>
      </c>
      <c r="BX109" s="65" t="s">
        <v>626</v>
      </c>
      <c r="BY109" s="65"/>
      <c r="BZ109" s="65">
        <v>45316</v>
      </c>
      <c r="CA109" s="65" t="s">
        <v>629</v>
      </c>
      <c r="CB109" s="65"/>
    </row>
    <row r="110" spans="1:80" s="64" customFormat="1" ht="22" customHeight="1" x14ac:dyDescent="0.2">
      <c r="A110" s="53" t="s">
        <v>37</v>
      </c>
      <c r="B110" s="63">
        <f ca="1">TODAY()</f>
        <v>45935</v>
      </c>
      <c r="C110" s="69" t="s">
        <v>588</v>
      </c>
      <c r="D110" s="68" t="s">
        <v>270</v>
      </c>
      <c r="E110" s="126" t="s">
        <v>86</v>
      </c>
      <c r="F110" s="2" t="s">
        <v>113</v>
      </c>
      <c r="G110" s="65">
        <v>45870</v>
      </c>
      <c r="H110" s="65">
        <v>46234</v>
      </c>
      <c r="I110" s="66">
        <f ca="1">(Table26[[#This Row],[Ref Date]]-Table26[[#This Row],[Service Start Date ]])/35</f>
        <v>1.8571428571428572</v>
      </c>
      <c r="J110" s="66">
        <f>COUNTIF(Table26[[#This Row],[2025 October
Actual]:[2024 January 
Done by 2]],"&gt;=" &amp;Table26[[#This Row],[Service Start Date ]])</f>
        <v>1</v>
      </c>
      <c r="K110" s="66">
        <f ca="1">Table26[[#This Row],[Actual Services
to be done]]-Table26[[#This Row],[Completed Services]]</f>
        <v>0.85714285714285721</v>
      </c>
      <c r="L110" s="64" t="s">
        <v>119</v>
      </c>
      <c r="M110" s="67">
        <f ca="1">B110-R110</f>
        <v>5</v>
      </c>
      <c r="N110" s="65">
        <f ca="1">((B110+(-M110+35-10)))</f>
        <v>45955</v>
      </c>
      <c r="O110" s="65"/>
      <c r="P110" s="65"/>
      <c r="Q110" s="65"/>
      <c r="R110" s="65">
        <v>45930</v>
      </c>
      <c r="S110" s="65" t="s">
        <v>615</v>
      </c>
      <c r="T110" s="65"/>
      <c r="U110" s="65"/>
      <c r="V110" s="65"/>
      <c r="W110" s="65"/>
      <c r="X110" s="65">
        <v>45862</v>
      </c>
      <c r="Y110" s="65" t="s">
        <v>618</v>
      </c>
      <c r="Z110" s="65"/>
      <c r="AA110" s="65"/>
      <c r="AB110" s="65"/>
      <c r="AC110" s="65"/>
      <c r="AD110" s="65">
        <v>45805</v>
      </c>
      <c r="AE110" s="65" t="s">
        <v>618</v>
      </c>
      <c r="AF110" s="65"/>
      <c r="AG110" s="65">
        <v>45779</v>
      </c>
      <c r="AH110" s="65" t="s">
        <v>621</v>
      </c>
      <c r="AI110" s="65"/>
      <c r="AJ110" s="65">
        <v>45750</v>
      </c>
      <c r="AK110" s="65" t="s">
        <v>618</v>
      </c>
      <c r="AL110" s="65"/>
      <c r="AM110" s="65">
        <v>45733</v>
      </c>
      <c r="AN110" s="65" t="s">
        <v>621</v>
      </c>
      <c r="AO110" s="65" t="s">
        <v>615</v>
      </c>
      <c r="AP110" s="65">
        <v>45694</v>
      </c>
      <c r="AQ110" s="65" t="s">
        <v>620</v>
      </c>
      <c r="AR110" s="65" t="s">
        <v>628</v>
      </c>
      <c r="AS110" s="65">
        <v>45628</v>
      </c>
      <c r="AT110" s="65" t="s">
        <v>618</v>
      </c>
      <c r="AU110" s="65"/>
      <c r="AV110" s="65"/>
      <c r="AW110" s="65"/>
      <c r="AX110" s="65"/>
      <c r="AY110" s="65">
        <v>45566</v>
      </c>
      <c r="AZ110" s="65" t="s">
        <v>615</v>
      </c>
      <c r="BA110" s="65"/>
      <c r="BB110" s="65"/>
      <c r="BC110" s="65"/>
      <c r="BD110" s="65"/>
      <c r="BE110" s="65">
        <v>45528</v>
      </c>
      <c r="BF110" s="65" t="s">
        <v>618</v>
      </c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>
        <v>45389</v>
      </c>
      <c r="BR110" s="65" t="s">
        <v>629</v>
      </c>
      <c r="BS110" s="65"/>
      <c r="BT110" s="65"/>
      <c r="BU110" s="65"/>
      <c r="BV110" s="65"/>
      <c r="BW110" s="65">
        <v>45333</v>
      </c>
      <c r="BX110" s="65" t="s">
        <v>629</v>
      </c>
      <c r="BY110" s="65"/>
      <c r="BZ110" s="65"/>
      <c r="CA110" s="65"/>
      <c r="CB110" s="65"/>
    </row>
    <row r="111" spans="1:80" s="64" customFormat="1" ht="22" customHeight="1" x14ac:dyDescent="0.2">
      <c r="A111" s="53" t="s">
        <v>37</v>
      </c>
      <c r="B111" s="63">
        <f ca="1">TODAY()</f>
        <v>45935</v>
      </c>
      <c r="C111" s="69" t="s">
        <v>525</v>
      </c>
      <c r="D111" s="68" t="s">
        <v>265</v>
      </c>
      <c r="E111" s="64" t="s">
        <v>27</v>
      </c>
      <c r="F111" s="2" t="s">
        <v>113</v>
      </c>
      <c r="G111" s="65">
        <v>45717</v>
      </c>
      <c r="H111" s="65">
        <v>46081</v>
      </c>
      <c r="I111" s="66">
        <f ca="1">(Table26[[#This Row],[Ref Date]]-Table26[[#This Row],[Service Start Date ]])/35</f>
        <v>6.2285714285714286</v>
      </c>
      <c r="J111" s="66">
        <f>COUNTIF(Table26[[#This Row],[2025 October
Actual]:[2024 January 
Done by 2]],"&gt;=" &amp;Table26[[#This Row],[Service Start Date ]])</f>
        <v>4</v>
      </c>
      <c r="K111" s="66">
        <f ca="1">Table26[[#This Row],[Actual Services
to be done]]-Table26[[#This Row],[Completed Services]]</f>
        <v>2.2285714285714286</v>
      </c>
      <c r="L111" s="64" t="s">
        <v>119</v>
      </c>
      <c r="M111" s="67">
        <f ca="1">B111-O111</f>
        <v>4</v>
      </c>
      <c r="N111" s="65">
        <f ca="1">((B111+(-M111+35-10)))</f>
        <v>45956</v>
      </c>
      <c r="O111" s="65">
        <v>45931</v>
      </c>
      <c r="P111" s="65" t="s">
        <v>620</v>
      </c>
      <c r="Q111" s="65"/>
      <c r="R111" s="65"/>
      <c r="S111" s="65"/>
      <c r="T111" s="65"/>
      <c r="U111" s="65">
        <v>45891</v>
      </c>
      <c r="V111" s="65" t="s">
        <v>618</v>
      </c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>
        <v>45756</v>
      </c>
      <c r="AH111" s="65" t="s">
        <v>622</v>
      </c>
      <c r="AI111" s="65"/>
      <c r="AJ111" s="65">
        <v>45730</v>
      </c>
      <c r="AK111" s="65" t="s">
        <v>622</v>
      </c>
      <c r="AL111" s="65"/>
      <c r="AM111" s="65">
        <v>45705</v>
      </c>
      <c r="AN111" s="65" t="s">
        <v>622</v>
      </c>
      <c r="AO111" s="65"/>
      <c r="AP111" s="65">
        <v>45685</v>
      </c>
      <c r="AQ111" s="65" t="s">
        <v>622</v>
      </c>
      <c r="AR111" s="65"/>
      <c r="AS111" s="65">
        <v>45643</v>
      </c>
      <c r="AT111" s="65" t="s">
        <v>618</v>
      </c>
      <c r="AU111" s="65"/>
      <c r="AV111" s="65">
        <v>45622</v>
      </c>
      <c r="AW111" s="65" t="s">
        <v>622</v>
      </c>
      <c r="AX111" s="65"/>
      <c r="AY111" s="65">
        <v>45587</v>
      </c>
      <c r="AZ111" s="65" t="s">
        <v>615</v>
      </c>
      <c r="BA111" s="65"/>
      <c r="BB111" s="65">
        <v>45565</v>
      </c>
      <c r="BC111" s="65" t="s">
        <v>622</v>
      </c>
      <c r="BD111" s="65"/>
      <c r="BE111" s="65">
        <v>45524</v>
      </c>
      <c r="BF111" s="65" t="s">
        <v>621</v>
      </c>
      <c r="BG111" s="65" t="s">
        <v>618</v>
      </c>
      <c r="BH111" s="65"/>
      <c r="BI111" s="65"/>
      <c r="BJ111" s="65"/>
      <c r="BK111" s="65"/>
      <c r="BL111" s="65"/>
      <c r="BM111" s="65"/>
      <c r="BN111" s="65">
        <v>45432</v>
      </c>
      <c r="BO111" s="65" t="s">
        <v>626</v>
      </c>
      <c r="BP111" s="65"/>
      <c r="BQ111" s="65"/>
      <c r="BR111" s="65"/>
      <c r="BS111" s="65"/>
      <c r="BT111" s="65">
        <v>45376</v>
      </c>
      <c r="BU111" s="65" t="s">
        <v>629</v>
      </c>
      <c r="BV111" s="65"/>
      <c r="BW111" s="65">
        <v>45338</v>
      </c>
      <c r="BX111" s="65" t="s">
        <v>630</v>
      </c>
      <c r="BY111" s="65"/>
      <c r="BZ111" s="65"/>
      <c r="CA111" s="65"/>
      <c r="CB111" s="65"/>
    </row>
    <row r="112" spans="1:80" s="64" customFormat="1" ht="22" customHeight="1" x14ac:dyDescent="0.2">
      <c r="A112" s="53" t="s">
        <v>37</v>
      </c>
      <c r="B112" s="63">
        <f ca="1">TODAY()</f>
        <v>45935</v>
      </c>
      <c r="C112" s="69" t="s">
        <v>419</v>
      </c>
      <c r="D112" s="68" t="s">
        <v>356</v>
      </c>
      <c r="E112" s="64" t="s">
        <v>179</v>
      </c>
      <c r="F112" s="2" t="s">
        <v>112</v>
      </c>
      <c r="G112" s="65">
        <v>45641</v>
      </c>
      <c r="H112" s="65">
        <v>46005</v>
      </c>
      <c r="I112" s="66">
        <f ca="1">(Table26[[#This Row],[Ref Date]]-Table26[[#This Row],[Service Start Date ]])/35</f>
        <v>8.4</v>
      </c>
      <c r="J112" s="66">
        <f>COUNTIF(Table26[[#This Row],[2025 October
Actual]:[2024 January 
Done by 2]],"&gt;=" &amp;Table26[[#This Row],[Service Start Date ]])</f>
        <v>6</v>
      </c>
      <c r="K112" s="66">
        <f ca="1">Table26[[#This Row],[Actual Services
to be done]]-Table26[[#This Row],[Completed Services]]</f>
        <v>2.4000000000000004</v>
      </c>
      <c r="L112" s="64" t="s">
        <v>119</v>
      </c>
      <c r="M112" s="67">
        <f ca="1">B112-R112</f>
        <v>22</v>
      </c>
      <c r="N112" s="65">
        <f ca="1">((B112+(-M112+35-10)))</f>
        <v>45938</v>
      </c>
      <c r="O112" s="65"/>
      <c r="P112" s="65"/>
      <c r="Q112" s="65"/>
      <c r="R112" s="65">
        <v>45913</v>
      </c>
      <c r="S112" s="65" t="s">
        <v>620</v>
      </c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>
        <v>45785</v>
      </c>
      <c r="AE112" s="65" t="s">
        <v>622</v>
      </c>
      <c r="AF112" s="65"/>
      <c r="AG112" s="65">
        <v>45749</v>
      </c>
      <c r="AH112" s="65" t="s">
        <v>622</v>
      </c>
      <c r="AI112" s="65"/>
      <c r="AJ112" s="65"/>
      <c r="AK112" s="65"/>
      <c r="AL112" s="65"/>
      <c r="AM112" s="65">
        <v>45714</v>
      </c>
      <c r="AN112" s="65" t="s">
        <v>615</v>
      </c>
      <c r="AO112" s="65"/>
      <c r="AP112" s="65">
        <v>45687</v>
      </c>
      <c r="AQ112" s="65" t="s">
        <v>622</v>
      </c>
      <c r="AR112" s="65"/>
      <c r="AS112" s="65">
        <v>45645</v>
      </c>
      <c r="AT112" s="65" t="s">
        <v>620</v>
      </c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</row>
    <row r="113" spans="1:80" s="94" customFormat="1" ht="22" customHeight="1" x14ac:dyDescent="0.2">
      <c r="A113" s="53" t="s">
        <v>37</v>
      </c>
      <c r="B113" s="63">
        <f ca="1">TODAY()</f>
        <v>45935</v>
      </c>
      <c r="C113" s="69" t="s">
        <v>421</v>
      </c>
      <c r="D113" s="68" t="s">
        <v>250</v>
      </c>
      <c r="E113" s="64" t="s">
        <v>3</v>
      </c>
      <c r="F113" s="2" t="s">
        <v>112</v>
      </c>
      <c r="G113" s="65">
        <v>45659</v>
      </c>
      <c r="H113" s="65">
        <v>46023</v>
      </c>
      <c r="I113" s="66">
        <f ca="1">(Table26[[#This Row],[Ref Date]]-Table26[[#This Row],[Service Start Date ]])/35</f>
        <v>7.8857142857142861</v>
      </c>
      <c r="J113" s="66">
        <f>COUNTIF(Table26[[#This Row],[2025 October
Actual]:[2024 January 
Done by 2]],"&gt;=" &amp;Table26[[#This Row],[Service Start Date ]])</f>
        <v>7</v>
      </c>
      <c r="K113" s="66">
        <f ca="1">Table26[[#This Row],[Actual Services
to be done]]-Table26[[#This Row],[Completed Services]]</f>
        <v>0.88571428571428612</v>
      </c>
      <c r="L113" s="64" t="s">
        <v>119</v>
      </c>
      <c r="M113" s="67">
        <f ca="1">B113-R113</f>
        <v>16</v>
      </c>
      <c r="N113" s="65">
        <f ca="1">((B113+(-M113+35-10)))</f>
        <v>45944</v>
      </c>
      <c r="O113" s="65"/>
      <c r="P113" s="65"/>
      <c r="Q113" s="65"/>
      <c r="R113" s="65">
        <v>45919</v>
      </c>
      <c r="S113" s="65" t="s">
        <v>620</v>
      </c>
      <c r="T113" s="65"/>
      <c r="U113" s="65"/>
      <c r="V113" s="65"/>
      <c r="W113" s="65"/>
      <c r="X113" s="65">
        <v>45843</v>
      </c>
      <c r="Y113" s="65" t="s">
        <v>620</v>
      </c>
      <c r="Z113" s="65" t="s">
        <v>618</v>
      </c>
      <c r="AA113" s="65">
        <v>45814</v>
      </c>
      <c r="AB113" s="65" t="s">
        <v>615</v>
      </c>
      <c r="AC113" s="65"/>
      <c r="AD113" s="65"/>
      <c r="AE113" s="65"/>
      <c r="AF113" s="65"/>
      <c r="AG113" s="65">
        <v>45755</v>
      </c>
      <c r="AH113" s="65" t="s">
        <v>622</v>
      </c>
      <c r="AI113" s="65" t="s">
        <v>618</v>
      </c>
      <c r="AJ113" s="65">
        <v>45729</v>
      </c>
      <c r="AK113" s="65" t="s">
        <v>622</v>
      </c>
      <c r="AL113" s="65"/>
      <c r="AM113" s="65">
        <v>45705</v>
      </c>
      <c r="AN113" s="65" t="s">
        <v>620</v>
      </c>
      <c r="AO113" s="65"/>
      <c r="AP113" s="65">
        <v>45681</v>
      </c>
      <c r="AQ113" s="65" t="s">
        <v>620</v>
      </c>
      <c r="AR113" s="65"/>
      <c r="AS113" s="65">
        <v>45649</v>
      </c>
      <c r="AT113" s="65" t="s">
        <v>620</v>
      </c>
      <c r="AU113" s="65"/>
      <c r="AV113" s="65">
        <v>45617</v>
      </c>
      <c r="AW113" s="65" t="s">
        <v>620</v>
      </c>
      <c r="AX113" s="65"/>
      <c r="AY113" s="65">
        <v>45588</v>
      </c>
      <c r="AZ113" s="65" t="s">
        <v>618</v>
      </c>
      <c r="BA113" s="65"/>
      <c r="BB113" s="65">
        <v>45560</v>
      </c>
      <c r="BC113" s="65" t="s">
        <v>615</v>
      </c>
      <c r="BD113" s="65"/>
      <c r="BE113" s="65">
        <v>45534</v>
      </c>
      <c r="BF113" s="65" t="s">
        <v>615</v>
      </c>
      <c r="BG113" s="65"/>
      <c r="BH113" s="65"/>
      <c r="BI113" s="65"/>
      <c r="BJ113" s="65"/>
      <c r="BK113" s="65"/>
      <c r="BL113" s="65"/>
      <c r="BM113" s="65"/>
      <c r="BN113" s="65">
        <v>45439</v>
      </c>
      <c r="BO113" s="65" t="s">
        <v>628</v>
      </c>
      <c r="BP113" s="65"/>
      <c r="BQ113" s="65"/>
      <c r="BR113" s="65"/>
      <c r="BS113" s="65"/>
      <c r="BT113" s="65">
        <v>45376</v>
      </c>
      <c r="BU113" s="65" t="s">
        <v>629</v>
      </c>
      <c r="BV113" s="65"/>
      <c r="BW113" s="65">
        <v>45339</v>
      </c>
      <c r="BX113" s="65" t="s">
        <v>630</v>
      </c>
      <c r="BY113" s="65" t="s">
        <v>631</v>
      </c>
      <c r="BZ113" s="65"/>
      <c r="CA113" s="65"/>
      <c r="CB113" s="65"/>
    </row>
    <row r="114" spans="1:80" s="64" customFormat="1" ht="22" customHeight="1" x14ac:dyDescent="0.2">
      <c r="A114" s="53" t="s">
        <v>37</v>
      </c>
      <c r="B114" s="63">
        <f ca="1">TODAY()</f>
        <v>45935</v>
      </c>
      <c r="C114" s="69" t="s">
        <v>603</v>
      </c>
      <c r="D114" s="68" t="s">
        <v>288</v>
      </c>
      <c r="E114" s="64" t="s">
        <v>89</v>
      </c>
      <c r="F114" s="2" t="s">
        <v>113</v>
      </c>
      <c r="G114" s="65">
        <v>45870</v>
      </c>
      <c r="H114" s="65">
        <v>46234</v>
      </c>
      <c r="I114" s="66">
        <f ca="1">(Table26[[#This Row],[Ref Date]]-Table26[[#This Row],[Service Start Date ]])/35</f>
        <v>1.8571428571428572</v>
      </c>
      <c r="J114" s="66">
        <f>COUNTIF(Table26[[#This Row],[2025 October
Actual]:[2024 January 
Done by 2]],"&gt;=" &amp;Table26[[#This Row],[Service Start Date ]])</f>
        <v>1</v>
      </c>
      <c r="K114" s="66">
        <f ca="1">Table26[[#This Row],[Actual Services
to be done]]-Table26[[#This Row],[Completed Services]]</f>
        <v>0.85714285714285721</v>
      </c>
      <c r="L114" s="64" t="s">
        <v>119</v>
      </c>
      <c r="M114" s="67">
        <f ca="1">B114-R114</f>
        <v>18</v>
      </c>
      <c r="N114" s="65">
        <f ca="1">((B114+(-M114+35-10)))</f>
        <v>45942</v>
      </c>
      <c r="O114" s="65"/>
      <c r="P114" s="65"/>
      <c r="Q114" s="65"/>
      <c r="R114" s="65">
        <v>45917</v>
      </c>
      <c r="S114" s="65" t="s">
        <v>617</v>
      </c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>
        <v>45790</v>
      </c>
      <c r="AE114" s="65" t="s">
        <v>615</v>
      </c>
      <c r="AF114" s="65"/>
      <c r="AG114" s="65">
        <v>45764</v>
      </c>
      <c r="AH114" s="65" t="s">
        <v>622</v>
      </c>
      <c r="AI114" s="65"/>
      <c r="AJ114" s="65">
        <v>45723</v>
      </c>
      <c r="AK114" s="65" t="s">
        <v>618</v>
      </c>
      <c r="AL114" s="65"/>
      <c r="AM114" s="65">
        <v>45702</v>
      </c>
      <c r="AN114" s="65" t="s">
        <v>622</v>
      </c>
      <c r="AO114" s="65"/>
      <c r="AP114" s="65">
        <v>45682</v>
      </c>
      <c r="AQ114" s="65" t="s">
        <v>622</v>
      </c>
      <c r="AR114" s="65"/>
      <c r="AS114" s="65">
        <v>45644</v>
      </c>
      <c r="AT114" s="65" t="s">
        <v>620</v>
      </c>
      <c r="AU114" s="65"/>
      <c r="AV114" s="65">
        <v>45612</v>
      </c>
      <c r="AW114" s="65" t="s">
        <v>620</v>
      </c>
      <c r="AX114" s="65"/>
      <c r="AY114" s="65">
        <v>45574</v>
      </c>
      <c r="AZ114" s="65" t="s">
        <v>615</v>
      </c>
      <c r="BA114" s="65"/>
      <c r="BB114" s="65">
        <v>45544</v>
      </c>
      <c r="BC114" s="65" t="s">
        <v>615</v>
      </c>
      <c r="BD114" s="65"/>
      <c r="BE114" s="65">
        <v>45511</v>
      </c>
      <c r="BF114" s="65" t="s">
        <v>615</v>
      </c>
      <c r="BG114" s="65" t="s">
        <v>622</v>
      </c>
      <c r="BH114" s="65"/>
      <c r="BI114" s="65"/>
      <c r="BJ114" s="65"/>
      <c r="BK114" s="65"/>
      <c r="BL114" s="65"/>
      <c r="BM114" s="65"/>
      <c r="BN114" s="65"/>
      <c r="BO114" s="65"/>
      <c r="BP114" s="65"/>
      <c r="BQ114" s="65">
        <v>45399</v>
      </c>
      <c r="BR114" s="65" t="s">
        <v>629</v>
      </c>
      <c r="BS114" s="65"/>
      <c r="BT114" s="65"/>
      <c r="BU114" s="65"/>
      <c r="BV114" s="65"/>
      <c r="BW114" s="65">
        <v>45349</v>
      </c>
      <c r="BX114" s="65" t="s">
        <v>630</v>
      </c>
      <c r="BY114" s="65"/>
      <c r="BZ114" s="65">
        <v>45295</v>
      </c>
      <c r="CA114" s="65" t="s">
        <v>629</v>
      </c>
      <c r="CB114" s="65"/>
    </row>
    <row r="115" spans="1:80" s="64" customFormat="1" ht="22" customHeight="1" x14ac:dyDescent="0.2">
      <c r="A115" s="53" t="s">
        <v>37</v>
      </c>
      <c r="B115" s="63">
        <f ca="1">TODAY()</f>
        <v>45935</v>
      </c>
      <c r="C115" s="69" t="s">
        <v>602</v>
      </c>
      <c r="D115" s="68" t="s">
        <v>287</v>
      </c>
      <c r="E115" s="64" t="s">
        <v>89</v>
      </c>
      <c r="F115" s="2" t="s">
        <v>113</v>
      </c>
      <c r="G115" s="65">
        <v>45870</v>
      </c>
      <c r="H115" s="65">
        <v>46234</v>
      </c>
      <c r="I115" s="66">
        <f ca="1">(Table26[[#This Row],[Ref Date]]-Table26[[#This Row],[Service Start Date ]])/35</f>
        <v>1.8571428571428572</v>
      </c>
      <c r="J115" s="66">
        <f>COUNTIF(Table26[[#This Row],[2025 October
Actual]:[2024 January 
Done by 2]],"&gt;=" &amp;Table26[[#This Row],[Service Start Date ]])</f>
        <v>1</v>
      </c>
      <c r="K115" s="66">
        <f ca="1">Table26[[#This Row],[Actual Services
to be done]]-Table26[[#This Row],[Completed Services]]</f>
        <v>0.85714285714285721</v>
      </c>
      <c r="L115" s="64" t="s">
        <v>119</v>
      </c>
      <c r="M115" s="67">
        <f ca="1">B115-R115</f>
        <v>18</v>
      </c>
      <c r="N115" s="65">
        <f ca="1">((B115+(-M115+35-10)))</f>
        <v>45942</v>
      </c>
      <c r="O115" s="65"/>
      <c r="P115" s="65"/>
      <c r="Q115" s="65"/>
      <c r="R115" s="65">
        <v>45917</v>
      </c>
      <c r="S115" s="65" t="s">
        <v>618</v>
      </c>
      <c r="T115" s="65" t="s">
        <v>617</v>
      </c>
      <c r="U115" s="65"/>
      <c r="V115" s="65"/>
      <c r="W115" s="65"/>
      <c r="X115" s="65"/>
      <c r="Y115" s="65"/>
      <c r="Z115" s="65"/>
      <c r="AA115" s="65"/>
      <c r="AB115" s="65"/>
      <c r="AC115" s="65"/>
      <c r="AD115" s="65">
        <v>45790</v>
      </c>
      <c r="AE115" s="65" t="s">
        <v>615</v>
      </c>
      <c r="AF115" s="65"/>
      <c r="AG115" s="65">
        <v>45762</v>
      </c>
      <c r="AH115" s="65" t="s">
        <v>622</v>
      </c>
      <c r="AI115" s="65"/>
      <c r="AJ115" s="65">
        <v>45723</v>
      </c>
      <c r="AK115" s="65" t="s">
        <v>618</v>
      </c>
      <c r="AL115" s="65"/>
      <c r="AM115" s="65">
        <v>45702</v>
      </c>
      <c r="AN115" s="65" t="s">
        <v>622</v>
      </c>
      <c r="AO115" s="65"/>
      <c r="AP115" s="65">
        <v>45682</v>
      </c>
      <c r="AQ115" s="65" t="s">
        <v>622</v>
      </c>
      <c r="AR115" s="65"/>
      <c r="AS115" s="65">
        <v>45644</v>
      </c>
      <c r="AT115" s="65" t="s">
        <v>620</v>
      </c>
      <c r="AU115" s="65"/>
      <c r="AV115" s="65">
        <v>45612</v>
      </c>
      <c r="AW115" s="65" t="s">
        <v>620</v>
      </c>
      <c r="AX115" s="65"/>
      <c r="AY115" s="65">
        <v>45574</v>
      </c>
      <c r="AZ115" s="65" t="s">
        <v>615</v>
      </c>
      <c r="BA115" s="65"/>
      <c r="BB115" s="65">
        <v>45544</v>
      </c>
      <c r="BC115" s="65" t="s">
        <v>618</v>
      </c>
      <c r="BD115" s="65"/>
      <c r="BE115" s="65">
        <v>45511</v>
      </c>
      <c r="BF115" s="65" t="s">
        <v>615</v>
      </c>
      <c r="BG115" s="65" t="s">
        <v>622</v>
      </c>
      <c r="BH115" s="65"/>
      <c r="BI115" s="65"/>
      <c r="BJ115" s="65"/>
      <c r="BK115" s="65"/>
      <c r="BL115" s="65"/>
      <c r="BM115" s="65"/>
      <c r="BN115" s="65"/>
      <c r="BO115" s="65"/>
      <c r="BP115" s="65"/>
      <c r="BQ115" s="65">
        <v>45399</v>
      </c>
      <c r="BR115" s="65" t="s">
        <v>629</v>
      </c>
      <c r="BS115" s="65"/>
      <c r="BT115" s="65"/>
      <c r="BU115" s="65"/>
      <c r="BV115" s="65"/>
      <c r="BW115" s="65">
        <v>45349</v>
      </c>
      <c r="BX115" s="65" t="s">
        <v>630</v>
      </c>
      <c r="BY115" s="65"/>
      <c r="BZ115" s="65">
        <v>45295</v>
      </c>
      <c r="CA115" s="65" t="s">
        <v>629</v>
      </c>
      <c r="CB115" s="65"/>
    </row>
    <row r="116" spans="1:80" s="64" customFormat="1" ht="22" customHeight="1" x14ac:dyDescent="0.2">
      <c r="A116" s="53" t="s">
        <v>37</v>
      </c>
      <c r="B116" s="63">
        <f ca="1">TODAY()</f>
        <v>45935</v>
      </c>
      <c r="C116" s="69" t="s">
        <v>605</v>
      </c>
      <c r="D116" s="68" t="s">
        <v>286</v>
      </c>
      <c r="E116" s="64" t="s">
        <v>89</v>
      </c>
      <c r="F116" s="2" t="s">
        <v>113</v>
      </c>
      <c r="G116" s="65">
        <v>45870</v>
      </c>
      <c r="H116" s="65">
        <v>46234</v>
      </c>
      <c r="I116" s="66">
        <f ca="1">(Table26[[#This Row],[Ref Date]]-Table26[[#This Row],[Service Start Date ]])/35</f>
        <v>1.8571428571428572</v>
      </c>
      <c r="J116" s="66">
        <f>COUNTIF(Table26[[#This Row],[2025 October
Actual]:[2024 January 
Done by 2]],"&gt;=" &amp;Table26[[#This Row],[Service Start Date ]])</f>
        <v>1</v>
      </c>
      <c r="K116" s="66">
        <f ca="1">Table26[[#This Row],[Actual Services
to be done]]-Table26[[#This Row],[Completed Services]]</f>
        <v>0.85714285714285721</v>
      </c>
      <c r="L116" s="64" t="s">
        <v>119</v>
      </c>
      <c r="M116" s="67">
        <f ca="1">B116-R116</f>
        <v>18</v>
      </c>
      <c r="N116" s="65">
        <f ca="1">((B116+(-M116+35-10)))</f>
        <v>45942</v>
      </c>
      <c r="O116" s="65"/>
      <c r="P116" s="65"/>
      <c r="Q116" s="65"/>
      <c r="R116" s="65">
        <v>45917</v>
      </c>
      <c r="S116" s="65" t="s">
        <v>618</v>
      </c>
      <c r="T116" s="65" t="s">
        <v>617</v>
      </c>
      <c r="U116" s="65"/>
      <c r="V116" s="65"/>
      <c r="W116" s="65"/>
      <c r="X116" s="65">
        <v>45840</v>
      </c>
      <c r="Y116" s="65" t="s">
        <v>620</v>
      </c>
      <c r="Z116" s="65"/>
      <c r="AA116" s="65"/>
      <c r="AB116" s="65"/>
      <c r="AC116" s="65"/>
      <c r="AD116" s="65">
        <v>45790</v>
      </c>
      <c r="AE116" s="65" t="s">
        <v>618</v>
      </c>
      <c r="AF116" s="65"/>
      <c r="AG116" s="65">
        <v>45764</v>
      </c>
      <c r="AH116" s="65" t="s">
        <v>622</v>
      </c>
      <c r="AI116" s="65"/>
      <c r="AJ116" s="65">
        <v>45723</v>
      </c>
      <c r="AK116" s="65" t="s">
        <v>618</v>
      </c>
      <c r="AL116" s="65"/>
      <c r="AM116" s="65">
        <v>45702</v>
      </c>
      <c r="AN116" s="65" t="s">
        <v>622</v>
      </c>
      <c r="AO116" s="65"/>
      <c r="AP116" s="65">
        <v>45682</v>
      </c>
      <c r="AQ116" s="65" t="s">
        <v>622</v>
      </c>
      <c r="AR116" s="65"/>
      <c r="AS116" s="65">
        <v>45644</v>
      </c>
      <c r="AT116" s="65" t="s">
        <v>620</v>
      </c>
      <c r="AU116" s="65"/>
      <c r="AV116" s="65">
        <v>45612</v>
      </c>
      <c r="AW116" s="65" t="s">
        <v>620</v>
      </c>
      <c r="AX116" s="65"/>
      <c r="AY116" s="65">
        <v>45574</v>
      </c>
      <c r="AZ116" s="65" t="s">
        <v>618</v>
      </c>
      <c r="BA116" s="65"/>
      <c r="BB116" s="65">
        <v>45544</v>
      </c>
      <c r="BC116" s="65" t="s">
        <v>618</v>
      </c>
      <c r="BD116" s="65"/>
      <c r="BE116" s="65">
        <v>45511</v>
      </c>
      <c r="BF116" s="65" t="s">
        <v>615</v>
      </c>
      <c r="BG116" s="65" t="s">
        <v>622</v>
      </c>
      <c r="BH116" s="65"/>
      <c r="BI116" s="65"/>
      <c r="BJ116" s="65"/>
      <c r="BK116" s="65"/>
      <c r="BL116" s="65"/>
      <c r="BM116" s="65"/>
      <c r="BN116" s="65"/>
      <c r="BO116" s="65"/>
      <c r="BP116" s="65"/>
      <c r="BQ116" s="65">
        <v>45399</v>
      </c>
      <c r="BR116" s="65" t="s">
        <v>629</v>
      </c>
      <c r="BS116" s="65"/>
      <c r="BT116" s="65"/>
      <c r="BU116" s="65"/>
      <c r="BV116" s="65"/>
      <c r="BW116" s="65">
        <v>45349</v>
      </c>
      <c r="BX116" s="65" t="s">
        <v>630</v>
      </c>
      <c r="BY116" s="65"/>
      <c r="BZ116" s="65">
        <v>45297</v>
      </c>
      <c r="CA116" s="65" t="s">
        <v>629</v>
      </c>
      <c r="CB116" s="65"/>
    </row>
    <row r="117" spans="1:80" s="64" customFormat="1" ht="22" customHeight="1" x14ac:dyDescent="0.2">
      <c r="A117" s="53" t="s">
        <v>37</v>
      </c>
      <c r="B117" s="63">
        <f ca="1">TODAY()</f>
        <v>45935</v>
      </c>
      <c r="C117" s="69" t="s">
        <v>608</v>
      </c>
      <c r="D117" s="68" t="s">
        <v>292</v>
      </c>
      <c r="E117" s="76" t="s">
        <v>89</v>
      </c>
      <c r="F117" s="2" t="s">
        <v>113</v>
      </c>
      <c r="G117" s="65">
        <v>45870</v>
      </c>
      <c r="H117" s="65">
        <v>46234</v>
      </c>
      <c r="I117" s="66">
        <f ca="1">(Table26[[#This Row],[Ref Date]]-Table26[[#This Row],[Service Start Date ]])/35</f>
        <v>1.8571428571428572</v>
      </c>
      <c r="J117" s="66">
        <f>COUNTIF(Table26[[#This Row],[2025 October
Actual]:[2024 January 
Done by 2]],"&gt;=" &amp;Table26[[#This Row],[Service Start Date ]])</f>
        <v>1</v>
      </c>
      <c r="K117" s="66">
        <f ca="1">Table26[[#This Row],[Actual Services
to be done]]-Table26[[#This Row],[Completed Services]]</f>
        <v>0.85714285714285721</v>
      </c>
      <c r="L117" s="64" t="s">
        <v>119</v>
      </c>
      <c r="M117" s="67">
        <f ca="1">B117-R117</f>
        <v>18</v>
      </c>
      <c r="N117" s="65">
        <f ca="1">((B117+(-M117+35-10)))</f>
        <v>45942</v>
      </c>
      <c r="O117" s="65"/>
      <c r="P117" s="65"/>
      <c r="Q117" s="65"/>
      <c r="R117" s="65">
        <v>45917</v>
      </c>
      <c r="S117" s="65" t="s">
        <v>617</v>
      </c>
      <c r="T117" s="65"/>
      <c r="U117" s="65"/>
      <c r="V117" s="65"/>
      <c r="W117" s="65"/>
      <c r="X117" s="65">
        <v>45840</v>
      </c>
      <c r="Y117" s="65" t="s">
        <v>620</v>
      </c>
      <c r="Z117" s="65"/>
      <c r="AA117" s="65"/>
      <c r="AB117" s="65"/>
      <c r="AC117" s="65"/>
      <c r="AD117" s="65">
        <v>45790</v>
      </c>
      <c r="AE117" s="65" t="s">
        <v>615</v>
      </c>
      <c r="AF117" s="65"/>
      <c r="AG117" s="65">
        <v>45762</v>
      </c>
      <c r="AH117" s="65" t="s">
        <v>622</v>
      </c>
      <c r="AI117" s="65"/>
      <c r="AJ117" s="65">
        <v>45721</v>
      </c>
      <c r="AK117" s="65" t="s">
        <v>620</v>
      </c>
      <c r="AL117" s="65"/>
      <c r="AM117" s="65">
        <v>45703</v>
      </c>
      <c r="AN117" s="65" t="s">
        <v>622</v>
      </c>
      <c r="AO117" s="65"/>
      <c r="AP117" s="65">
        <v>45682</v>
      </c>
      <c r="AQ117" s="65" t="s">
        <v>622</v>
      </c>
      <c r="AR117" s="65"/>
      <c r="AS117" s="65">
        <v>45642</v>
      </c>
      <c r="AT117" s="65" t="s">
        <v>620</v>
      </c>
      <c r="AU117" s="65"/>
      <c r="AV117" s="65">
        <v>45611</v>
      </c>
      <c r="AW117" s="65" t="s">
        <v>620</v>
      </c>
      <c r="AX117" s="65"/>
      <c r="AY117" s="65">
        <v>45574</v>
      </c>
      <c r="AZ117" s="65" t="s">
        <v>618</v>
      </c>
      <c r="BA117" s="65"/>
      <c r="BB117" s="65">
        <v>45544</v>
      </c>
      <c r="BC117" s="65" t="s">
        <v>618</v>
      </c>
      <c r="BD117" s="65"/>
      <c r="BE117" s="65">
        <v>45511</v>
      </c>
      <c r="BF117" s="65" t="s">
        <v>615</v>
      </c>
      <c r="BG117" s="65" t="s">
        <v>622</v>
      </c>
      <c r="BH117" s="65"/>
      <c r="BI117" s="65"/>
      <c r="BJ117" s="65"/>
      <c r="BK117" s="65"/>
      <c r="BL117" s="65"/>
      <c r="BM117" s="65"/>
      <c r="BN117" s="65"/>
      <c r="BO117" s="65"/>
      <c r="BP117" s="65"/>
      <c r="BQ117" s="65">
        <v>45399</v>
      </c>
      <c r="BR117" s="65" t="s">
        <v>629</v>
      </c>
      <c r="BS117" s="65"/>
      <c r="BT117" s="65"/>
      <c r="BU117" s="65"/>
      <c r="BV117" s="65"/>
      <c r="BW117" s="65">
        <v>45349</v>
      </c>
      <c r="BX117" s="65" t="s">
        <v>630</v>
      </c>
      <c r="BY117" s="65"/>
      <c r="BZ117" s="65">
        <v>45297</v>
      </c>
      <c r="CA117" s="65" t="s">
        <v>629</v>
      </c>
      <c r="CB117" s="65"/>
    </row>
    <row r="118" spans="1:80" s="64" customFormat="1" ht="22" customHeight="1" x14ac:dyDescent="0.2">
      <c r="A118" s="53" t="s">
        <v>37</v>
      </c>
      <c r="B118" s="63">
        <f ca="1">TODAY()</f>
        <v>45935</v>
      </c>
      <c r="C118" s="69" t="s">
        <v>609</v>
      </c>
      <c r="D118" s="68" t="s">
        <v>293</v>
      </c>
      <c r="E118" s="64" t="s">
        <v>89</v>
      </c>
      <c r="F118" s="2" t="s">
        <v>113</v>
      </c>
      <c r="G118" s="65">
        <v>45870</v>
      </c>
      <c r="H118" s="65">
        <v>46234</v>
      </c>
      <c r="I118" s="66">
        <f ca="1">(Table26[[#This Row],[Ref Date]]-Table26[[#This Row],[Service Start Date ]])/35</f>
        <v>1.8571428571428572</v>
      </c>
      <c r="J118" s="66">
        <f>COUNTIF(Table26[[#This Row],[2025 October
Actual]:[2024 January 
Done by 2]],"&gt;=" &amp;Table26[[#This Row],[Service Start Date ]])</f>
        <v>2</v>
      </c>
      <c r="K118" s="66">
        <f ca="1">Table26[[#This Row],[Actual Services
to be done]]-Table26[[#This Row],[Completed Services]]</f>
        <v>-0.14285714285714279</v>
      </c>
      <c r="L118" s="64" t="s">
        <v>119</v>
      </c>
      <c r="M118" s="67">
        <f ca="1">B118-R118</f>
        <v>17</v>
      </c>
      <c r="N118" s="65">
        <f ca="1">((B118+(-M118+35)))</f>
        <v>45953</v>
      </c>
      <c r="O118" s="65"/>
      <c r="P118" s="65"/>
      <c r="Q118" s="65"/>
      <c r="R118" s="65">
        <v>45918</v>
      </c>
      <c r="S118" s="65" t="s">
        <v>617</v>
      </c>
      <c r="T118" s="65"/>
      <c r="U118" s="65">
        <v>45875</v>
      </c>
      <c r="V118" s="65" t="s">
        <v>620</v>
      </c>
      <c r="W118" s="65" t="s">
        <v>617</v>
      </c>
      <c r="X118" s="65"/>
      <c r="Y118" s="65"/>
      <c r="Z118" s="65"/>
      <c r="AA118" s="65"/>
      <c r="AB118" s="65"/>
      <c r="AC118" s="65"/>
      <c r="AD118" s="65">
        <v>45790</v>
      </c>
      <c r="AE118" s="65" t="s">
        <v>615</v>
      </c>
      <c r="AF118" s="65"/>
      <c r="AG118" s="65">
        <v>45762</v>
      </c>
      <c r="AH118" s="65" t="s">
        <v>622</v>
      </c>
      <c r="AI118" s="65"/>
      <c r="AJ118" s="65">
        <v>45721</v>
      </c>
      <c r="AK118" s="65" t="s">
        <v>620</v>
      </c>
      <c r="AL118" s="65"/>
      <c r="AM118" s="65">
        <v>45703</v>
      </c>
      <c r="AN118" s="65" t="s">
        <v>622</v>
      </c>
      <c r="AO118" s="65"/>
      <c r="AP118" s="65">
        <v>45682</v>
      </c>
      <c r="AQ118" s="65" t="s">
        <v>622</v>
      </c>
      <c r="AR118" s="65"/>
      <c r="AS118" s="65">
        <v>45642</v>
      </c>
      <c r="AT118" s="65" t="s">
        <v>620</v>
      </c>
      <c r="AU118" s="65"/>
      <c r="AV118" s="65">
        <v>45611</v>
      </c>
      <c r="AW118" s="65" t="s">
        <v>620</v>
      </c>
      <c r="AX118" s="65"/>
      <c r="AY118" s="65">
        <v>45574</v>
      </c>
      <c r="AZ118" s="65" t="s">
        <v>618</v>
      </c>
      <c r="BA118" s="65"/>
      <c r="BB118" s="65">
        <v>45544</v>
      </c>
      <c r="BC118" s="65" t="s">
        <v>615</v>
      </c>
      <c r="BD118" s="65"/>
      <c r="BE118" s="65">
        <v>45511</v>
      </c>
      <c r="BF118" s="65" t="s">
        <v>615</v>
      </c>
      <c r="BG118" s="65" t="s">
        <v>622</v>
      </c>
      <c r="BH118" s="65"/>
      <c r="BI118" s="65"/>
      <c r="BJ118" s="65"/>
      <c r="BK118" s="65"/>
      <c r="BL118" s="65"/>
      <c r="BM118" s="65"/>
      <c r="BN118" s="65"/>
      <c r="BO118" s="65"/>
      <c r="BP118" s="65"/>
      <c r="BQ118" s="65">
        <v>45399</v>
      </c>
      <c r="BR118" s="65" t="s">
        <v>629</v>
      </c>
      <c r="BS118" s="65"/>
      <c r="BT118" s="65"/>
      <c r="BU118" s="65"/>
      <c r="BV118" s="65"/>
      <c r="BW118" s="65">
        <v>45349</v>
      </c>
      <c r="BX118" s="65" t="s">
        <v>630</v>
      </c>
      <c r="BY118" s="65"/>
      <c r="BZ118" s="65">
        <v>45297</v>
      </c>
      <c r="CA118" s="65" t="s">
        <v>629</v>
      </c>
      <c r="CB118" s="65"/>
    </row>
    <row r="119" spans="1:80" s="64" customFormat="1" ht="22" customHeight="1" x14ac:dyDescent="0.2">
      <c r="A119" s="53" t="s">
        <v>37</v>
      </c>
      <c r="B119" s="63">
        <f ca="1">TODAY()</f>
        <v>45935</v>
      </c>
      <c r="C119" s="69" t="s">
        <v>604</v>
      </c>
      <c r="D119" s="68" t="s">
        <v>291</v>
      </c>
      <c r="E119" s="64" t="s">
        <v>89</v>
      </c>
      <c r="F119" s="2" t="s">
        <v>113</v>
      </c>
      <c r="G119" s="65">
        <v>45870</v>
      </c>
      <c r="H119" s="65">
        <v>46234</v>
      </c>
      <c r="I119" s="66">
        <f ca="1">(Table26[[#This Row],[Ref Date]]-Table26[[#This Row],[Service Start Date ]])/35</f>
        <v>1.8571428571428572</v>
      </c>
      <c r="J119" s="66">
        <f>COUNTIF(Table26[[#This Row],[2025 October
Actual]:[2024 January 
Done by 2]],"&gt;=" &amp;Table26[[#This Row],[Service Start Date ]])</f>
        <v>2</v>
      </c>
      <c r="K119" s="66">
        <f ca="1">Table26[[#This Row],[Actual Services
to be done]]-Table26[[#This Row],[Completed Services]]</f>
        <v>-0.14285714285714279</v>
      </c>
      <c r="L119" s="64" t="s">
        <v>119</v>
      </c>
      <c r="M119" s="67">
        <f ca="1">B119-R119</f>
        <v>17</v>
      </c>
      <c r="N119" s="65">
        <f ca="1">((B119+(-M119+35)))</f>
        <v>45953</v>
      </c>
      <c r="O119" s="65"/>
      <c r="P119" s="65"/>
      <c r="Q119" s="65"/>
      <c r="R119" s="65">
        <v>45918</v>
      </c>
      <c r="S119" s="65" t="s">
        <v>617</v>
      </c>
      <c r="T119" s="65"/>
      <c r="U119" s="65">
        <v>45897</v>
      </c>
      <c r="V119" s="65" t="s">
        <v>621</v>
      </c>
      <c r="W119" s="65"/>
      <c r="X119" s="65">
        <v>45840</v>
      </c>
      <c r="Y119" s="65" t="s">
        <v>620</v>
      </c>
      <c r="Z119" s="65"/>
      <c r="AA119" s="65"/>
      <c r="AB119" s="65"/>
      <c r="AC119" s="65"/>
      <c r="AD119" s="65">
        <v>45790</v>
      </c>
      <c r="AE119" s="65" t="s">
        <v>618</v>
      </c>
      <c r="AF119" s="65"/>
      <c r="AG119" s="65">
        <v>45764</v>
      </c>
      <c r="AH119" s="65" t="s">
        <v>622</v>
      </c>
      <c r="AI119" s="65"/>
      <c r="AJ119" s="65">
        <v>45721</v>
      </c>
      <c r="AK119" s="65" t="s">
        <v>620</v>
      </c>
      <c r="AL119" s="65"/>
      <c r="AM119" s="65">
        <v>45703</v>
      </c>
      <c r="AN119" s="65" t="s">
        <v>622</v>
      </c>
      <c r="AO119" s="65"/>
      <c r="AP119" s="65">
        <v>45682</v>
      </c>
      <c r="AQ119" s="65" t="s">
        <v>622</v>
      </c>
      <c r="AR119" s="65"/>
      <c r="AS119" s="65">
        <v>45644</v>
      </c>
      <c r="AT119" s="65" t="s">
        <v>620</v>
      </c>
      <c r="AU119" s="65"/>
      <c r="AV119" s="65">
        <v>45611</v>
      </c>
      <c r="AW119" s="65" t="s">
        <v>620</v>
      </c>
      <c r="AX119" s="65"/>
      <c r="AY119" s="65">
        <v>45574</v>
      </c>
      <c r="AZ119" s="65" t="s">
        <v>618</v>
      </c>
      <c r="BA119" s="65"/>
      <c r="BB119" s="65">
        <v>45544</v>
      </c>
      <c r="BC119" s="65" t="s">
        <v>615</v>
      </c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</row>
    <row r="120" spans="1:80" s="64" customFormat="1" ht="22" customHeight="1" x14ac:dyDescent="0.2">
      <c r="A120" s="53" t="s">
        <v>37</v>
      </c>
      <c r="B120" s="63">
        <f ca="1">TODAY()</f>
        <v>45935</v>
      </c>
      <c r="C120" s="69" t="s">
        <v>606</v>
      </c>
      <c r="D120" s="68" t="s">
        <v>289</v>
      </c>
      <c r="E120" s="70" t="s">
        <v>89</v>
      </c>
      <c r="F120" s="2" t="s">
        <v>113</v>
      </c>
      <c r="G120" s="65">
        <v>45870</v>
      </c>
      <c r="H120" s="65">
        <v>46234</v>
      </c>
      <c r="I120" s="66">
        <f ca="1">(Table26[[#This Row],[Ref Date]]-Table26[[#This Row],[Service Start Date ]])/35</f>
        <v>1.8571428571428572</v>
      </c>
      <c r="J120" s="66">
        <f>COUNTIF(Table26[[#This Row],[2025 October
Actual]:[2024 January 
Done by 2]],"&gt;=" &amp;Table26[[#This Row],[Service Start Date ]])</f>
        <v>2</v>
      </c>
      <c r="K120" s="66">
        <f ca="1">Table26[[#This Row],[Actual Services
to be done]]-Table26[[#This Row],[Completed Services]]</f>
        <v>-0.14285714285714279</v>
      </c>
      <c r="L120" s="64" t="s">
        <v>119</v>
      </c>
      <c r="M120" s="67">
        <f ca="1">B120-R120</f>
        <v>17</v>
      </c>
      <c r="N120" s="65">
        <f ca="1">((B120+(-M120+35)))</f>
        <v>45953</v>
      </c>
      <c r="O120" s="65"/>
      <c r="P120" s="65"/>
      <c r="Q120" s="65"/>
      <c r="R120" s="65">
        <v>45918</v>
      </c>
      <c r="S120" s="65" t="s">
        <v>617</v>
      </c>
      <c r="T120" s="65"/>
      <c r="U120" s="65">
        <v>45875</v>
      </c>
      <c r="V120" s="65" t="s">
        <v>620</v>
      </c>
      <c r="W120" s="65" t="s">
        <v>617</v>
      </c>
      <c r="X120" s="65"/>
      <c r="Y120" s="65"/>
      <c r="Z120" s="65"/>
      <c r="AA120" s="65"/>
      <c r="AB120" s="65"/>
      <c r="AC120" s="65"/>
      <c r="AD120" s="65">
        <v>45790</v>
      </c>
      <c r="AE120" s="65" t="s">
        <v>618</v>
      </c>
      <c r="AF120" s="65"/>
      <c r="AG120" s="65">
        <v>45762</v>
      </c>
      <c r="AH120" s="65" t="s">
        <v>622</v>
      </c>
      <c r="AI120" s="65"/>
      <c r="AJ120" s="65">
        <v>45721</v>
      </c>
      <c r="AK120" s="65" t="s">
        <v>620</v>
      </c>
      <c r="AL120" s="65"/>
      <c r="AM120" s="65">
        <v>45702</v>
      </c>
      <c r="AN120" s="65" t="s">
        <v>622</v>
      </c>
      <c r="AO120" s="65"/>
      <c r="AP120" s="65">
        <v>45682</v>
      </c>
      <c r="AQ120" s="65" t="s">
        <v>622</v>
      </c>
      <c r="AR120" s="65"/>
      <c r="AS120" s="65">
        <v>45642</v>
      </c>
      <c r="AT120" s="65" t="s">
        <v>620</v>
      </c>
      <c r="AU120" s="65"/>
      <c r="AV120" s="65">
        <v>45611</v>
      </c>
      <c r="AW120" s="65" t="s">
        <v>620</v>
      </c>
      <c r="AX120" s="65"/>
      <c r="AY120" s="65">
        <v>45574</v>
      </c>
      <c r="AZ120" s="65" t="s">
        <v>615</v>
      </c>
      <c r="BA120" s="65"/>
      <c r="BB120" s="65">
        <v>45544</v>
      </c>
      <c r="BC120" s="65" t="s">
        <v>615</v>
      </c>
      <c r="BD120" s="65"/>
      <c r="BE120" s="65">
        <v>45511</v>
      </c>
      <c r="BF120" s="65" t="s">
        <v>615</v>
      </c>
      <c r="BG120" s="65" t="s">
        <v>622</v>
      </c>
      <c r="BH120" s="65"/>
      <c r="BI120" s="65"/>
      <c r="BJ120" s="65"/>
      <c r="BK120" s="65"/>
      <c r="BL120" s="65"/>
      <c r="BM120" s="65"/>
      <c r="BN120" s="65"/>
      <c r="BO120" s="65"/>
      <c r="BP120" s="65"/>
      <c r="BQ120" s="65">
        <v>45400</v>
      </c>
      <c r="BR120" s="65" t="s">
        <v>629</v>
      </c>
      <c r="BS120" s="65"/>
      <c r="BT120" s="65"/>
      <c r="BU120" s="65"/>
      <c r="BV120" s="65"/>
      <c r="BW120" s="65">
        <v>45349</v>
      </c>
      <c r="BX120" s="65" t="s">
        <v>630</v>
      </c>
      <c r="BY120" s="65"/>
      <c r="BZ120" s="65">
        <v>45295</v>
      </c>
      <c r="CA120" s="65" t="s">
        <v>629</v>
      </c>
      <c r="CB120" s="65"/>
    </row>
    <row r="121" spans="1:80" s="64" customFormat="1" ht="22" customHeight="1" x14ac:dyDescent="0.2">
      <c r="A121" s="53" t="s">
        <v>37</v>
      </c>
      <c r="B121" s="63">
        <f ca="1">TODAY()</f>
        <v>45935</v>
      </c>
      <c r="C121" s="69" t="s">
        <v>607</v>
      </c>
      <c r="D121" s="68" t="s">
        <v>290</v>
      </c>
      <c r="E121" s="70" t="s">
        <v>89</v>
      </c>
      <c r="F121" s="2" t="s">
        <v>113</v>
      </c>
      <c r="G121" s="65">
        <v>45870</v>
      </c>
      <c r="H121" s="65">
        <v>46234</v>
      </c>
      <c r="I121" s="66">
        <f ca="1">(Table26[[#This Row],[Ref Date]]-Table26[[#This Row],[Service Start Date ]])/35</f>
        <v>1.8571428571428572</v>
      </c>
      <c r="J121" s="66">
        <f>COUNTIF(Table26[[#This Row],[2025 October
Actual]:[2024 January 
Done by 2]],"&gt;=" &amp;Table26[[#This Row],[Service Start Date ]])</f>
        <v>2</v>
      </c>
      <c r="K121" s="66">
        <f ca="1">Table26[[#This Row],[Actual Services
to be done]]-Table26[[#This Row],[Completed Services]]</f>
        <v>-0.14285714285714279</v>
      </c>
      <c r="L121" s="64" t="s">
        <v>119</v>
      </c>
      <c r="M121" s="67">
        <f ca="1">B121-R121</f>
        <v>17</v>
      </c>
      <c r="N121" s="65">
        <f ca="1">((B121+(-M121+35)))</f>
        <v>45953</v>
      </c>
      <c r="O121" s="65"/>
      <c r="P121" s="65"/>
      <c r="Q121" s="65"/>
      <c r="R121" s="65">
        <v>45918</v>
      </c>
      <c r="S121" s="65" t="s">
        <v>617</v>
      </c>
      <c r="T121" s="65"/>
      <c r="U121" s="65">
        <v>45875</v>
      </c>
      <c r="V121" s="65" t="s">
        <v>620</v>
      </c>
      <c r="W121" s="65" t="s">
        <v>617</v>
      </c>
      <c r="X121" s="65"/>
      <c r="Y121" s="65"/>
      <c r="Z121" s="65"/>
      <c r="AA121" s="65"/>
      <c r="AB121" s="65"/>
      <c r="AC121" s="65"/>
      <c r="AD121" s="65">
        <v>45790</v>
      </c>
      <c r="AE121" s="65" t="s">
        <v>618</v>
      </c>
      <c r="AF121" s="65"/>
      <c r="AG121" s="65">
        <v>45762</v>
      </c>
      <c r="AH121" s="65" t="s">
        <v>622</v>
      </c>
      <c r="AI121" s="65"/>
      <c r="AJ121" s="65">
        <v>45721</v>
      </c>
      <c r="AK121" s="65" t="s">
        <v>620</v>
      </c>
      <c r="AL121" s="65"/>
      <c r="AM121" s="65">
        <v>45702</v>
      </c>
      <c r="AN121" s="65" t="s">
        <v>622</v>
      </c>
      <c r="AO121" s="65"/>
      <c r="AP121" s="65">
        <v>45682</v>
      </c>
      <c r="AQ121" s="65" t="s">
        <v>622</v>
      </c>
      <c r="AR121" s="65"/>
      <c r="AS121" s="65">
        <v>45642</v>
      </c>
      <c r="AT121" s="65" t="s">
        <v>620</v>
      </c>
      <c r="AU121" s="65"/>
      <c r="AV121" s="65">
        <v>45611</v>
      </c>
      <c r="AW121" s="65" t="s">
        <v>620</v>
      </c>
      <c r="AX121" s="65"/>
      <c r="AY121" s="65">
        <v>45574</v>
      </c>
      <c r="AZ121" s="65" t="s">
        <v>615</v>
      </c>
      <c r="BA121" s="65"/>
      <c r="BB121" s="65">
        <v>45544</v>
      </c>
      <c r="BC121" s="65" t="s">
        <v>618</v>
      </c>
      <c r="BD121" s="65"/>
      <c r="BE121" s="65">
        <v>45511</v>
      </c>
      <c r="BF121" s="65" t="s">
        <v>615</v>
      </c>
      <c r="BG121" s="65" t="s">
        <v>622</v>
      </c>
      <c r="BH121" s="65"/>
      <c r="BI121" s="65"/>
      <c r="BJ121" s="65"/>
      <c r="BK121" s="65"/>
      <c r="BL121" s="65"/>
      <c r="BM121" s="65"/>
      <c r="BN121" s="65"/>
      <c r="BO121" s="65"/>
      <c r="BP121" s="65"/>
      <c r="BQ121" s="65">
        <v>45400</v>
      </c>
      <c r="BR121" s="65" t="s">
        <v>629</v>
      </c>
      <c r="BS121" s="65"/>
      <c r="BT121" s="65"/>
      <c r="BU121" s="65"/>
      <c r="BV121" s="65"/>
      <c r="BW121" s="65">
        <v>45349</v>
      </c>
      <c r="BX121" s="65" t="s">
        <v>630</v>
      </c>
      <c r="BY121" s="65"/>
      <c r="BZ121" s="65">
        <v>45297</v>
      </c>
      <c r="CA121" s="65" t="s">
        <v>629</v>
      </c>
      <c r="CB121" s="65"/>
    </row>
    <row r="122" spans="1:80" s="64" customFormat="1" ht="22" customHeight="1" x14ac:dyDescent="0.2">
      <c r="A122" s="53" t="s">
        <v>37</v>
      </c>
      <c r="B122" s="63">
        <f ca="1">TODAY()</f>
        <v>45935</v>
      </c>
      <c r="C122" s="69" t="s">
        <v>562</v>
      </c>
      <c r="D122" s="68" t="s">
        <v>235</v>
      </c>
      <c r="E122" s="64" t="s">
        <v>41</v>
      </c>
      <c r="F122" s="2" t="s">
        <v>113</v>
      </c>
      <c r="G122" s="65">
        <v>45573</v>
      </c>
      <c r="H122" s="65">
        <v>45938</v>
      </c>
      <c r="I122" s="66">
        <v>10</v>
      </c>
      <c r="J122" s="66">
        <f>COUNTIF(Table26[[#This Row],[2025 October
Actual]:[2024 January 
Done by 2]],"&gt;=" &amp;Table26[[#This Row],[Service Start Date ]])</f>
        <v>10</v>
      </c>
      <c r="K122" s="66">
        <f>Table26[[#This Row],[Actual Services
to be done]]-Table26[[#This Row],[Completed Services]]</f>
        <v>0</v>
      </c>
      <c r="L122" s="64" t="s">
        <v>119</v>
      </c>
      <c r="M122" s="67">
        <f ca="1">B122-R122</f>
        <v>18</v>
      </c>
      <c r="N122" s="65">
        <f ca="1">((B122+(-M122+35)))</f>
        <v>45952</v>
      </c>
      <c r="O122" s="65"/>
      <c r="P122" s="65"/>
      <c r="Q122" s="65"/>
      <c r="R122" s="65">
        <v>45917</v>
      </c>
      <c r="S122" s="65" t="s">
        <v>620</v>
      </c>
      <c r="T122" s="65"/>
      <c r="U122" s="65"/>
      <c r="V122" s="65"/>
      <c r="W122" s="65"/>
      <c r="X122" s="65">
        <v>45860</v>
      </c>
      <c r="Y122" s="65" t="s">
        <v>620</v>
      </c>
      <c r="Z122" s="65"/>
      <c r="AA122" s="65">
        <v>45813</v>
      </c>
      <c r="AB122" s="65" t="s">
        <v>615</v>
      </c>
      <c r="AC122" s="65"/>
      <c r="AD122" s="65"/>
      <c r="AE122" s="65"/>
      <c r="AF122" s="65"/>
      <c r="AG122" s="65">
        <v>45757</v>
      </c>
      <c r="AH122" s="65" t="s">
        <v>622</v>
      </c>
      <c r="AI122" s="65"/>
      <c r="AJ122" s="65">
        <v>45728</v>
      </c>
      <c r="AK122" s="65" t="s">
        <v>620</v>
      </c>
      <c r="AL122" s="65"/>
      <c r="AM122" s="65">
        <v>45706</v>
      </c>
      <c r="AN122" s="65" t="s">
        <v>622</v>
      </c>
      <c r="AO122" s="65"/>
      <c r="AP122" s="65">
        <v>45680</v>
      </c>
      <c r="AQ122" s="65" t="s">
        <v>620</v>
      </c>
      <c r="AR122" s="65"/>
      <c r="AS122" s="65">
        <v>45654</v>
      </c>
      <c r="AT122" s="65" t="s">
        <v>620</v>
      </c>
      <c r="AU122" s="65"/>
      <c r="AV122" s="65">
        <v>45610</v>
      </c>
      <c r="AW122" s="65" t="s">
        <v>620</v>
      </c>
      <c r="AX122" s="65"/>
      <c r="AY122" s="65">
        <v>45579</v>
      </c>
      <c r="AZ122" s="65" t="s">
        <v>615</v>
      </c>
      <c r="BA122" s="65"/>
      <c r="BB122" s="65">
        <v>45560</v>
      </c>
      <c r="BC122" s="65" t="s">
        <v>615</v>
      </c>
      <c r="BD122" s="65"/>
      <c r="BE122" s="65">
        <v>45525</v>
      </c>
      <c r="BF122" s="65" t="s">
        <v>615</v>
      </c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>
        <v>45398</v>
      </c>
      <c r="BR122" s="65" t="s">
        <v>629</v>
      </c>
      <c r="BS122" s="65"/>
      <c r="BT122" s="65">
        <v>45353</v>
      </c>
      <c r="BU122" s="65" t="s">
        <v>630</v>
      </c>
      <c r="BV122" s="65"/>
      <c r="BW122" s="65"/>
      <c r="BX122" s="65"/>
      <c r="BY122" s="65"/>
      <c r="BZ122" s="65"/>
      <c r="CA122" s="65"/>
      <c r="CB122" s="65"/>
    </row>
    <row r="123" spans="1:80" s="64" customFormat="1" ht="22" customHeight="1" x14ac:dyDescent="0.2">
      <c r="A123" s="53" t="s">
        <v>37</v>
      </c>
      <c r="B123" s="63">
        <f ca="1">TODAY()</f>
        <v>45935</v>
      </c>
      <c r="C123" s="69" t="s">
        <v>431</v>
      </c>
      <c r="D123" s="68" t="s">
        <v>284</v>
      </c>
      <c r="E123" s="64" t="s">
        <v>27</v>
      </c>
      <c r="F123" s="2" t="s">
        <v>112</v>
      </c>
      <c r="G123" s="65">
        <v>45659</v>
      </c>
      <c r="H123" s="65">
        <v>46023</v>
      </c>
      <c r="I123" s="66">
        <f ca="1">(Table26[[#This Row],[Ref Date]]-Table26[[#This Row],[Service Start Date ]])/35</f>
        <v>7.8857142857142861</v>
      </c>
      <c r="J123" s="66">
        <f>COUNTIF(Table26[[#This Row],[2025 October
Actual]:[2024 January 
Done by 2]],"&gt;=" &amp;Table26[[#This Row],[Service Start Date ]])</f>
        <v>8</v>
      </c>
      <c r="K123" s="66">
        <f ca="1">Table26[[#This Row],[Actual Services
to be done]]-Table26[[#This Row],[Completed Services]]</f>
        <v>-0.11428571428571388</v>
      </c>
      <c r="L123" s="64" t="s">
        <v>119</v>
      </c>
      <c r="M123" s="67">
        <f ca="1">B123-R123</f>
        <v>30</v>
      </c>
      <c r="N123" s="65">
        <f ca="1">((B123+(-M123+35)))</f>
        <v>45940</v>
      </c>
      <c r="O123" s="65"/>
      <c r="P123" s="65"/>
      <c r="Q123" s="65"/>
      <c r="R123" s="65">
        <v>45905</v>
      </c>
      <c r="S123" s="65" t="s">
        <v>618</v>
      </c>
      <c r="T123" s="65"/>
      <c r="U123" s="100"/>
      <c r="V123" s="100"/>
      <c r="W123" s="65"/>
      <c r="X123" s="65">
        <v>45869</v>
      </c>
      <c r="Y123" s="65" t="s">
        <v>618</v>
      </c>
      <c r="Z123" s="65"/>
      <c r="AA123" s="65">
        <v>45822</v>
      </c>
      <c r="AB123" s="65" t="s">
        <v>615</v>
      </c>
      <c r="AC123" s="65"/>
      <c r="AD123" s="65">
        <v>45785</v>
      </c>
      <c r="AE123" s="65" t="s">
        <v>622</v>
      </c>
      <c r="AF123" s="65"/>
      <c r="AG123" s="65">
        <v>45750</v>
      </c>
      <c r="AH123" s="65" t="s">
        <v>622</v>
      </c>
      <c r="AI123" s="65"/>
      <c r="AJ123" s="65">
        <v>45719</v>
      </c>
      <c r="AK123" s="65" t="s">
        <v>622</v>
      </c>
      <c r="AL123" s="65"/>
      <c r="AM123" s="65">
        <v>45692</v>
      </c>
      <c r="AN123" s="65" t="s">
        <v>622</v>
      </c>
      <c r="AO123" s="65"/>
      <c r="AP123" s="65">
        <v>45666</v>
      </c>
      <c r="AQ123" s="65" t="s">
        <v>622</v>
      </c>
      <c r="AR123" s="65"/>
      <c r="AS123" s="65">
        <v>45635</v>
      </c>
      <c r="AT123" s="65" t="s">
        <v>620</v>
      </c>
      <c r="AU123" s="65"/>
      <c r="AV123" s="65">
        <v>45617</v>
      </c>
      <c r="AW123" s="65" t="s">
        <v>615</v>
      </c>
      <c r="AX123" s="65"/>
      <c r="AY123" s="65">
        <v>45575</v>
      </c>
      <c r="AZ123" s="95" t="s">
        <v>622</v>
      </c>
      <c r="BA123" s="65"/>
      <c r="BB123" s="65">
        <v>45551</v>
      </c>
      <c r="BC123" s="65" t="s">
        <v>615</v>
      </c>
      <c r="BD123" s="65"/>
      <c r="BE123" s="65">
        <v>45512</v>
      </c>
      <c r="BF123" s="65" t="s">
        <v>615</v>
      </c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>
        <v>45393</v>
      </c>
      <c r="BR123" s="65" t="s">
        <v>629</v>
      </c>
      <c r="BS123" s="65"/>
      <c r="BT123" s="65"/>
      <c r="BU123" s="65"/>
      <c r="BV123" s="65"/>
      <c r="BW123" s="65">
        <v>45348</v>
      </c>
      <c r="BX123" s="65" t="s">
        <v>630</v>
      </c>
      <c r="BY123" s="65"/>
      <c r="BZ123" s="65">
        <v>45301</v>
      </c>
      <c r="CA123" s="65" t="s">
        <v>629</v>
      </c>
      <c r="CB123" s="65"/>
    </row>
    <row r="124" spans="1:80" s="64" customFormat="1" ht="22" customHeight="1" x14ac:dyDescent="0.2">
      <c r="A124" s="53" t="s">
        <v>37</v>
      </c>
      <c r="B124" s="63">
        <f ca="1">TODAY()</f>
        <v>45935</v>
      </c>
      <c r="C124" s="69" t="s">
        <v>450</v>
      </c>
      <c r="D124" s="68" t="s">
        <v>283</v>
      </c>
      <c r="E124" s="64" t="s">
        <v>27</v>
      </c>
      <c r="F124" s="2" t="s">
        <v>112</v>
      </c>
      <c r="G124" s="65">
        <v>45659</v>
      </c>
      <c r="H124" s="65">
        <v>46024</v>
      </c>
      <c r="I124" s="66">
        <f ca="1">(Table26[[#This Row],[Ref Date]]-Table26[[#This Row],[Service Start Date ]])/35</f>
        <v>7.8857142857142861</v>
      </c>
      <c r="J124" s="66">
        <f>COUNTIF(Table26[[#This Row],[2025 October
Actual]:[2024 January 
Done by 2]],"&gt;=" &amp;Table26[[#This Row],[Service Start Date ]])</f>
        <v>7</v>
      </c>
      <c r="K124" s="66">
        <f ca="1">Table26[[#This Row],[Actual Services
to be done]]-Table26[[#This Row],[Completed Services]]</f>
        <v>0.88571428571428612</v>
      </c>
      <c r="L124" s="64" t="s">
        <v>119</v>
      </c>
      <c r="M124" s="67">
        <f ca="1">B124-R124</f>
        <v>26</v>
      </c>
      <c r="N124" s="65">
        <f ca="1">((B124+(-M124+35-10)))</f>
        <v>45934</v>
      </c>
      <c r="O124" s="65"/>
      <c r="P124" s="65"/>
      <c r="Q124" s="65"/>
      <c r="R124" s="65">
        <v>45909</v>
      </c>
      <c r="S124" s="65" t="s">
        <v>618</v>
      </c>
      <c r="T124" s="65"/>
      <c r="U124" s="65"/>
      <c r="V124" s="65"/>
      <c r="W124" s="65"/>
      <c r="X124" s="65"/>
      <c r="Y124" s="65"/>
      <c r="Z124" s="65"/>
      <c r="AA124" s="65">
        <v>45822</v>
      </c>
      <c r="AB124" s="65" t="s">
        <v>615</v>
      </c>
      <c r="AC124" s="65"/>
      <c r="AD124" s="65">
        <v>45785</v>
      </c>
      <c r="AE124" s="65" t="s">
        <v>622</v>
      </c>
      <c r="AF124" s="65"/>
      <c r="AG124" s="65">
        <v>45750</v>
      </c>
      <c r="AH124" s="65" t="s">
        <v>622</v>
      </c>
      <c r="AI124" s="65"/>
      <c r="AJ124" s="65">
        <v>45719</v>
      </c>
      <c r="AK124" s="65" t="s">
        <v>622</v>
      </c>
      <c r="AL124" s="65"/>
      <c r="AM124" s="65">
        <v>45692</v>
      </c>
      <c r="AN124" s="65" t="s">
        <v>622</v>
      </c>
      <c r="AO124" s="65"/>
      <c r="AP124" s="65">
        <v>45666</v>
      </c>
      <c r="AQ124" s="65" t="s">
        <v>622</v>
      </c>
      <c r="AR124" s="65"/>
      <c r="AS124" s="65">
        <v>45635</v>
      </c>
      <c r="AT124" s="65" t="s">
        <v>620</v>
      </c>
      <c r="AU124" s="65"/>
      <c r="AV124" s="65">
        <v>45617</v>
      </c>
      <c r="AW124" s="65" t="s">
        <v>615</v>
      </c>
      <c r="AX124" s="65"/>
      <c r="AY124" s="65">
        <v>45575</v>
      </c>
      <c r="AZ124" s="95" t="s">
        <v>622</v>
      </c>
      <c r="BA124" s="65"/>
      <c r="BB124" s="65">
        <v>45551</v>
      </c>
      <c r="BC124" s="65" t="s">
        <v>615</v>
      </c>
      <c r="BD124" s="65"/>
      <c r="BE124" s="65">
        <v>45512</v>
      </c>
      <c r="BF124" s="65" t="s">
        <v>615</v>
      </c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>
        <v>45393</v>
      </c>
      <c r="BR124" s="65" t="s">
        <v>629</v>
      </c>
      <c r="BS124" s="65"/>
      <c r="BT124" s="65"/>
      <c r="BU124" s="65"/>
      <c r="BV124" s="65"/>
      <c r="BW124" s="65">
        <v>45348</v>
      </c>
      <c r="BX124" s="65" t="s">
        <v>630</v>
      </c>
      <c r="BY124" s="65"/>
      <c r="BZ124" s="65">
        <v>45301</v>
      </c>
      <c r="CA124" s="65" t="s">
        <v>629</v>
      </c>
      <c r="CB124" s="65"/>
    </row>
    <row r="125" spans="1:80" s="64" customFormat="1" ht="22" customHeight="1" x14ac:dyDescent="0.2">
      <c r="A125" s="53" t="s">
        <v>37</v>
      </c>
      <c r="B125" s="63">
        <f ca="1">TODAY()</f>
        <v>45935</v>
      </c>
      <c r="C125" s="69" t="s">
        <v>570</v>
      </c>
      <c r="D125" s="68" t="s">
        <v>376</v>
      </c>
      <c r="E125" s="64" t="s">
        <v>24</v>
      </c>
      <c r="F125" s="2" t="s">
        <v>113</v>
      </c>
      <c r="G125" s="65">
        <v>45572</v>
      </c>
      <c r="H125" s="65">
        <v>45936</v>
      </c>
      <c r="I125" s="66">
        <v>10</v>
      </c>
      <c r="J125" s="66">
        <f>COUNTIF(Table26[[#This Row],[2025 October
Actual]:[2024 January 
Done by 2]],"&gt;=" &amp;Table26[[#This Row],[Service Start Date ]])</f>
        <v>9</v>
      </c>
      <c r="K125" s="66">
        <f>Table26[[#This Row],[Actual Services
to be done]]-Table26[[#This Row],[Completed Services]]</f>
        <v>1</v>
      </c>
      <c r="L125" s="64" t="s">
        <v>119</v>
      </c>
      <c r="M125" s="67">
        <f ca="1">B125-U125</f>
        <v>43</v>
      </c>
      <c r="N125" s="65">
        <f ca="1">((B125+(-M125+35-10)))</f>
        <v>45917</v>
      </c>
      <c r="O125" s="65"/>
      <c r="P125" s="65"/>
      <c r="Q125" s="65"/>
      <c r="R125" s="65"/>
      <c r="S125" s="65"/>
      <c r="T125" s="65"/>
      <c r="U125" s="65">
        <v>45892</v>
      </c>
      <c r="V125" s="65" t="s">
        <v>618</v>
      </c>
      <c r="W125" s="65"/>
      <c r="X125" s="65">
        <v>45864</v>
      </c>
      <c r="Y125" s="65" t="s">
        <v>618</v>
      </c>
      <c r="Z125" s="65"/>
      <c r="AA125" s="65"/>
      <c r="AB125" s="65"/>
      <c r="AC125" s="65"/>
      <c r="AD125" s="65">
        <v>45783</v>
      </c>
      <c r="AE125" s="65" t="s">
        <v>622</v>
      </c>
      <c r="AF125" s="65"/>
      <c r="AG125" s="65">
        <v>45749</v>
      </c>
      <c r="AH125" s="65" t="s">
        <v>622</v>
      </c>
      <c r="AI125" s="65"/>
      <c r="AJ125" s="65">
        <v>45723</v>
      </c>
      <c r="AK125" s="65" t="s">
        <v>622</v>
      </c>
      <c r="AL125" s="65"/>
      <c r="AM125" s="65">
        <v>45699</v>
      </c>
      <c r="AN125" s="65" t="s">
        <v>622</v>
      </c>
      <c r="AO125" s="65"/>
      <c r="AP125" s="65">
        <v>45677</v>
      </c>
      <c r="AQ125" s="65" t="s">
        <v>618</v>
      </c>
      <c r="AR125" s="65"/>
      <c r="AS125" s="65">
        <v>45652</v>
      </c>
      <c r="AT125" s="65" t="s">
        <v>620</v>
      </c>
      <c r="AU125" s="65"/>
      <c r="AV125" s="65">
        <v>45621</v>
      </c>
      <c r="AW125" s="65" t="s">
        <v>622</v>
      </c>
      <c r="AX125" s="65"/>
      <c r="AY125" s="65">
        <v>45570</v>
      </c>
      <c r="AZ125" s="95" t="s">
        <v>622</v>
      </c>
      <c r="BA125" s="65"/>
      <c r="BB125" s="65">
        <v>45544</v>
      </c>
      <c r="BC125" s="65" t="s">
        <v>622</v>
      </c>
      <c r="BD125" s="65"/>
      <c r="BE125" s="65">
        <v>45509</v>
      </c>
      <c r="BF125" s="65" t="s">
        <v>622</v>
      </c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>
        <v>45385</v>
      </c>
      <c r="BR125" s="65" t="s">
        <v>629</v>
      </c>
      <c r="BS125" s="65"/>
      <c r="BT125" s="65"/>
      <c r="BU125" s="65"/>
      <c r="BV125" s="65"/>
      <c r="BW125" s="65">
        <v>45334</v>
      </c>
      <c r="BX125" s="65" t="s">
        <v>630</v>
      </c>
      <c r="BY125" s="65"/>
      <c r="BZ125" s="65"/>
      <c r="CA125" s="65"/>
      <c r="CB125" s="65"/>
    </row>
    <row r="126" spans="1:80" s="64" customFormat="1" ht="22" customHeight="1" x14ac:dyDescent="0.2">
      <c r="A126" s="53" t="s">
        <v>159</v>
      </c>
      <c r="B126" s="63">
        <f ca="1">TODAY()</f>
        <v>45935</v>
      </c>
      <c r="C126" s="69" t="s">
        <v>427</v>
      </c>
      <c r="D126" s="68" t="s">
        <v>366</v>
      </c>
      <c r="E126" s="64" t="s">
        <v>27</v>
      </c>
      <c r="F126" s="2" t="s">
        <v>112</v>
      </c>
      <c r="G126" s="65">
        <v>45627</v>
      </c>
      <c r="H126" s="65">
        <v>45991</v>
      </c>
      <c r="I126" s="66">
        <f ca="1">(Table26[[#This Row],[Ref Date]]-Table26[[#This Row],[Service Start Date ]])/35</f>
        <v>8.8000000000000007</v>
      </c>
      <c r="J126" s="66">
        <f>COUNTIF(Table26[[#This Row],[2025 October
Actual]:[2024 January 
Done by 2]],"&gt;=" &amp;Table26[[#This Row],[Service Start Date ]])</f>
        <v>8</v>
      </c>
      <c r="K126" s="66">
        <f ca="1">Table26[[#This Row],[Actual Services
to be done]]-Table26[[#This Row],[Completed Services]]</f>
        <v>0.80000000000000071</v>
      </c>
      <c r="L126" s="64" t="s">
        <v>119</v>
      </c>
      <c r="M126" s="67">
        <f ca="1">B126-R126</f>
        <v>13</v>
      </c>
      <c r="N126" s="65">
        <f ca="1">((B126+(-M126+35-10)))</f>
        <v>45947</v>
      </c>
      <c r="O126" s="65"/>
      <c r="P126" s="65"/>
      <c r="Q126" s="65"/>
      <c r="R126" s="65">
        <v>45922</v>
      </c>
      <c r="S126" s="65" t="s">
        <v>618</v>
      </c>
      <c r="T126" s="65"/>
      <c r="U126" s="65"/>
      <c r="V126" s="65"/>
      <c r="W126" s="65"/>
      <c r="X126" s="65">
        <v>45855</v>
      </c>
      <c r="Y126" s="65" t="s">
        <v>618</v>
      </c>
      <c r="Z126" s="65"/>
      <c r="AA126" s="65"/>
      <c r="AB126" s="65"/>
      <c r="AC126" s="65"/>
      <c r="AD126" s="65">
        <v>45801</v>
      </c>
      <c r="AE126" s="65" t="s">
        <v>615</v>
      </c>
      <c r="AF126" s="65"/>
      <c r="AG126" s="65">
        <v>45756</v>
      </c>
      <c r="AH126" s="65" t="s">
        <v>622</v>
      </c>
      <c r="AI126" s="65"/>
      <c r="AJ126" s="65">
        <v>45727</v>
      </c>
      <c r="AK126" s="65" t="s">
        <v>622</v>
      </c>
      <c r="AL126" s="65"/>
      <c r="AM126" s="65">
        <v>45701</v>
      </c>
      <c r="AN126" s="65" t="s">
        <v>622</v>
      </c>
      <c r="AO126" s="65"/>
      <c r="AP126" s="65">
        <v>45684</v>
      </c>
      <c r="AQ126" s="65" t="s">
        <v>622</v>
      </c>
      <c r="AR126" s="65"/>
      <c r="AS126" s="65">
        <v>45653</v>
      </c>
      <c r="AT126" s="65" t="s">
        <v>620</v>
      </c>
      <c r="AU126" s="65"/>
      <c r="AV126" s="65">
        <v>45618</v>
      </c>
      <c r="AW126" s="65" t="s">
        <v>622</v>
      </c>
      <c r="AX126" s="65"/>
      <c r="AY126" s="65">
        <v>45587</v>
      </c>
      <c r="AZ126" s="65" t="s">
        <v>615</v>
      </c>
      <c r="BA126" s="65"/>
      <c r="BB126" s="65">
        <v>45555</v>
      </c>
      <c r="BC126" s="65" t="s">
        <v>615</v>
      </c>
      <c r="BD126" s="65"/>
      <c r="BE126" s="65">
        <v>45512</v>
      </c>
      <c r="BF126" s="65" t="s">
        <v>615</v>
      </c>
      <c r="BG126" s="65"/>
      <c r="BH126" s="65"/>
      <c r="BI126" s="65"/>
      <c r="BJ126" s="65"/>
      <c r="BK126" s="65"/>
      <c r="BL126" s="65"/>
      <c r="BM126" s="65"/>
      <c r="BN126" s="65">
        <v>45414</v>
      </c>
      <c r="BO126" s="65" t="s">
        <v>629</v>
      </c>
      <c r="BP126" s="65"/>
      <c r="BQ126" s="65"/>
      <c r="BR126" s="65"/>
      <c r="BS126" s="65"/>
      <c r="BT126" s="65">
        <v>45364</v>
      </c>
      <c r="BU126" s="65" t="s">
        <v>629</v>
      </c>
      <c r="BV126" s="65"/>
      <c r="BW126" s="65"/>
      <c r="BX126" s="65"/>
      <c r="BY126" s="65"/>
      <c r="BZ126" s="65">
        <v>45293</v>
      </c>
      <c r="CA126" s="65" t="s">
        <v>629</v>
      </c>
      <c r="CB126" s="65"/>
    </row>
    <row r="127" spans="1:80" s="64" customFormat="1" ht="22" customHeight="1" x14ac:dyDescent="0.2">
      <c r="A127" s="53" t="s">
        <v>37</v>
      </c>
      <c r="B127" s="63">
        <f ca="1">TODAY()</f>
        <v>45935</v>
      </c>
      <c r="C127" s="69" t="s">
        <v>530</v>
      </c>
      <c r="D127" s="68" t="s">
        <v>390</v>
      </c>
      <c r="E127" s="64" t="s">
        <v>168</v>
      </c>
      <c r="F127" s="2" t="s">
        <v>113</v>
      </c>
      <c r="G127" s="65">
        <v>45901</v>
      </c>
      <c r="H127" s="65">
        <v>46265</v>
      </c>
      <c r="I127" s="66">
        <f ca="1">(Table26[[#This Row],[Ref Date]]-Table26[[#This Row],[Service Start Date ]])/35</f>
        <v>0.97142857142857142</v>
      </c>
      <c r="J127" s="66">
        <f>COUNTIF(Table26[[#This Row],[2025 October
Actual]:[2024 January 
Done by 2]],"&gt;=" &amp;Table26[[#This Row],[Service Start Date ]])</f>
        <v>1</v>
      </c>
      <c r="K127" s="66">
        <f ca="1">Table26[[#This Row],[Actual Services
to be done]]-Table26[[#This Row],[Completed Services]]</f>
        <v>-2.8571428571428581E-2</v>
      </c>
      <c r="L127" s="64" t="s">
        <v>119</v>
      </c>
      <c r="M127" s="67">
        <f ca="1">B127-R127</f>
        <v>5</v>
      </c>
      <c r="N127" s="65">
        <f ca="1">((B127+(-M127+35-10)))</f>
        <v>45955</v>
      </c>
      <c r="O127" s="65"/>
      <c r="P127" s="65"/>
      <c r="Q127" s="65"/>
      <c r="R127" s="65">
        <v>45930</v>
      </c>
      <c r="S127" s="65" t="s">
        <v>620</v>
      </c>
      <c r="T127" s="65"/>
      <c r="U127" s="65">
        <v>45899</v>
      </c>
      <c r="V127" s="65" t="s">
        <v>617</v>
      </c>
      <c r="W127" s="65" t="s">
        <v>213</v>
      </c>
      <c r="X127" s="65"/>
      <c r="Y127" s="65"/>
      <c r="Z127" s="65"/>
      <c r="AA127" s="65">
        <v>45811</v>
      </c>
      <c r="AB127" s="65" t="s">
        <v>621</v>
      </c>
      <c r="AC127" s="65"/>
      <c r="AD127" s="65"/>
      <c r="AE127" s="65"/>
      <c r="AF127" s="65"/>
      <c r="AG127" s="65">
        <v>45757</v>
      </c>
      <c r="AH127" s="65" t="s">
        <v>622</v>
      </c>
      <c r="AI127" s="65"/>
      <c r="AJ127" s="65">
        <v>45726</v>
      </c>
      <c r="AK127" s="65" t="s">
        <v>622</v>
      </c>
      <c r="AL127" s="65"/>
      <c r="AM127" s="65">
        <v>45706</v>
      </c>
      <c r="AN127" s="65" t="s">
        <v>622</v>
      </c>
      <c r="AO127" s="65"/>
      <c r="AP127" s="65">
        <v>45681</v>
      </c>
      <c r="AQ127" s="65" t="s">
        <v>620</v>
      </c>
      <c r="AR127" s="65"/>
      <c r="AS127" s="65">
        <v>45649</v>
      </c>
      <c r="AT127" s="65" t="s">
        <v>620</v>
      </c>
      <c r="AU127" s="65"/>
      <c r="AV127" s="65">
        <v>45624</v>
      </c>
      <c r="AW127" s="65" t="s">
        <v>620</v>
      </c>
      <c r="AX127" s="65"/>
      <c r="AY127" s="65">
        <v>45589</v>
      </c>
      <c r="AZ127" s="65" t="s">
        <v>615</v>
      </c>
      <c r="BA127" s="65"/>
      <c r="BB127" s="65">
        <v>45565</v>
      </c>
      <c r="BC127" s="65" t="s">
        <v>615</v>
      </c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</row>
    <row r="128" spans="1:80" s="93" customFormat="1" ht="22" customHeight="1" x14ac:dyDescent="0.2">
      <c r="A128" s="53" t="s">
        <v>38</v>
      </c>
      <c r="B128" s="63">
        <f ca="1">TODAY()</f>
        <v>45935</v>
      </c>
      <c r="C128" s="69" t="s">
        <v>558</v>
      </c>
      <c r="D128" s="68" t="s">
        <v>278</v>
      </c>
      <c r="E128" s="82" t="s">
        <v>27</v>
      </c>
      <c r="F128" s="2" t="s">
        <v>113</v>
      </c>
      <c r="G128" s="65">
        <v>45566</v>
      </c>
      <c r="H128" s="65">
        <v>45930</v>
      </c>
      <c r="I128" s="66">
        <v>10</v>
      </c>
      <c r="J128" s="66">
        <f>COUNTIF(Table26[[#This Row],[2025 October
Actual]:[2024 January 
Done by 2]],"&gt;=" &amp;Table26[[#This Row],[Service Start Date ]])</f>
        <v>9</v>
      </c>
      <c r="K128" s="66">
        <f>Table26[[#This Row],[Actual Services
to be done]]-Table26[[#This Row],[Completed Services]]</f>
        <v>1</v>
      </c>
      <c r="L128" s="64" t="s">
        <v>119</v>
      </c>
      <c r="M128" s="67">
        <f ca="1">B128-R128</f>
        <v>12</v>
      </c>
      <c r="N128" s="65">
        <f ca="1">((B128+(-M128+35)))</f>
        <v>45958</v>
      </c>
      <c r="O128" s="65"/>
      <c r="P128" s="65"/>
      <c r="Q128" s="65"/>
      <c r="R128" s="65">
        <v>45923</v>
      </c>
      <c r="S128" s="65" t="s">
        <v>620</v>
      </c>
      <c r="T128" s="65"/>
      <c r="U128" s="65"/>
      <c r="V128" s="65"/>
      <c r="W128" s="65"/>
      <c r="X128" s="65"/>
      <c r="Y128" s="65"/>
      <c r="Z128" s="65"/>
      <c r="AA128" s="65">
        <v>45822</v>
      </c>
      <c r="AB128" s="65" t="s">
        <v>615</v>
      </c>
      <c r="AC128" s="65"/>
      <c r="AD128" s="65"/>
      <c r="AE128" s="65"/>
      <c r="AF128" s="65"/>
      <c r="AG128" s="65">
        <v>45763</v>
      </c>
      <c r="AH128" s="65" t="s">
        <v>622</v>
      </c>
      <c r="AI128" s="65"/>
      <c r="AJ128" s="65">
        <v>45729</v>
      </c>
      <c r="AK128" s="65" t="s">
        <v>622</v>
      </c>
      <c r="AL128" s="65"/>
      <c r="AM128" s="65">
        <v>45708</v>
      </c>
      <c r="AN128" s="65" t="s">
        <v>622</v>
      </c>
      <c r="AO128" s="65"/>
      <c r="AP128" s="65">
        <v>45685</v>
      </c>
      <c r="AQ128" s="65" t="s">
        <v>622</v>
      </c>
      <c r="AR128" s="65"/>
      <c r="AS128" s="65">
        <v>45650</v>
      </c>
      <c r="AT128" s="65" t="s">
        <v>620</v>
      </c>
      <c r="AU128" s="65"/>
      <c r="AV128" s="65">
        <v>45618</v>
      </c>
      <c r="AW128" s="65" t="s">
        <v>622</v>
      </c>
      <c r="AX128" s="65"/>
      <c r="AY128" s="65">
        <v>45587</v>
      </c>
      <c r="AZ128" s="65" t="s">
        <v>615</v>
      </c>
      <c r="BA128" s="65"/>
      <c r="BB128" s="65">
        <v>45565</v>
      </c>
      <c r="BC128" s="65" t="s">
        <v>622</v>
      </c>
      <c r="BD128" s="65"/>
      <c r="BE128" s="65">
        <v>45532</v>
      </c>
      <c r="BF128" s="65" t="s">
        <v>615</v>
      </c>
      <c r="BG128" s="65"/>
      <c r="BH128" s="65"/>
      <c r="BI128" s="65"/>
      <c r="BJ128" s="65"/>
      <c r="BK128" s="65"/>
      <c r="BL128" s="65"/>
      <c r="BM128" s="65"/>
      <c r="BN128" s="65">
        <v>45432</v>
      </c>
      <c r="BO128" s="65" t="s">
        <v>626</v>
      </c>
      <c r="BP128" s="65"/>
      <c r="BQ128" s="65">
        <v>45414</v>
      </c>
      <c r="BR128" s="65" t="s">
        <v>629</v>
      </c>
      <c r="BS128" s="65"/>
      <c r="BT128" s="65">
        <v>45362</v>
      </c>
      <c r="BU128" s="65" t="s">
        <v>630</v>
      </c>
      <c r="BV128" s="65"/>
      <c r="BW128" s="65"/>
      <c r="BX128" s="65"/>
      <c r="BY128" s="65"/>
      <c r="BZ128" s="65">
        <v>45321</v>
      </c>
      <c r="CA128" s="65" t="s">
        <v>629</v>
      </c>
      <c r="CB128" s="65"/>
    </row>
    <row r="129" spans="1:80" s="93" customFormat="1" ht="22" customHeight="1" x14ac:dyDescent="0.2">
      <c r="A129" s="53" t="s">
        <v>38</v>
      </c>
      <c r="B129" s="63">
        <f ca="1">TODAY()</f>
        <v>45935</v>
      </c>
      <c r="C129" s="69" t="s">
        <v>595</v>
      </c>
      <c r="D129" s="68" t="s">
        <v>396</v>
      </c>
      <c r="E129" s="126" t="s">
        <v>3</v>
      </c>
      <c r="F129" s="2" t="s">
        <v>113</v>
      </c>
      <c r="G129" s="65">
        <v>45474</v>
      </c>
      <c r="H129" s="65">
        <v>45838</v>
      </c>
      <c r="I129" s="66">
        <v>6</v>
      </c>
      <c r="J129" s="66">
        <f>COUNTIF(Table26[[#This Row],[2025 October
Actual]:[2024 January 
Done by 2]],"&gt;=" &amp;Table26[[#This Row],[Service Start Date ]])</f>
        <v>7</v>
      </c>
      <c r="K129" s="66">
        <f>Table26[[#This Row],[Actual Services
to be done]]-Table26[[#This Row],[Completed Services]]</f>
        <v>-1</v>
      </c>
      <c r="L129" s="64" t="s">
        <v>118</v>
      </c>
      <c r="M129" s="67">
        <f ca="1">B129-O129</f>
        <v>2</v>
      </c>
      <c r="N129" s="65">
        <f ca="1">((B129+(-M129+60)))</f>
        <v>45993</v>
      </c>
      <c r="O129" s="65">
        <v>45933</v>
      </c>
      <c r="P129" s="65" t="s">
        <v>617</v>
      </c>
      <c r="Q129" s="65"/>
      <c r="R129" s="65"/>
      <c r="S129" s="65"/>
      <c r="T129" s="65"/>
      <c r="U129" s="65"/>
      <c r="V129" s="65"/>
      <c r="W129" s="65"/>
      <c r="X129" s="65">
        <v>45861</v>
      </c>
      <c r="Y129" s="65" t="s">
        <v>618</v>
      </c>
      <c r="Z129" s="65"/>
      <c r="AA129" s="65"/>
      <c r="AB129" s="65"/>
      <c r="AC129" s="65"/>
      <c r="AD129" s="65"/>
      <c r="AE129" s="65"/>
      <c r="AF129" s="65"/>
      <c r="AG129" s="65">
        <v>45777</v>
      </c>
      <c r="AH129" s="65" t="s">
        <v>622</v>
      </c>
      <c r="AI129" s="65"/>
      <c r="AJ129" s="65">
        <v>45745</v>
      </c>
      <c r="AK129" s="65" t="s">
        <v>622</v>
      </c>
      <c r="AL129" s="65"/>
      <c r="AM129" s="65">
        <v>45706</v>
      </c>
      <c r="AN129" s="65" t="s">
        <v>622</v>
      </c>
      <c r="AO129" s="65"/>
      <c r="AP129" s="65"/>
      <c r="AQ129" s="65"/>
      <c r="AR129" s="65"/>
      <c r="AS129" s="65">
        <v>45654</v>
      </c>
      <c r="AT129" s="65" t="s">
        <v>620</v>
      </c>
      <c r="AU129" s="65"/>
      <c r="AV129" s="65"/>
      <c r="AW129" s="65"/>
      <c r="AX129" s="65"/>
      <c r="AY129" s="65"/>
      <c r="AZ129" s="65"/>
      <c r="BA129" s="65"/>
      <c r="BB129" s="65">
        <v>45556</v>
      </c>
      <c r="BC129" s="65" t="s">
        <v>615</v>
      </c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</row>
    <row r="130" spans="1:80" s="64" customFormat="1" ht="22" customHeight="1" x14ac:dyDescent="0.2">
      <c r="A130" s="53" t="s">
        <v>37</v>
      </c>
      <c r="B130" s="63">
        <f ca="1">TODAY()</f>
        <v>45935</v>
      </c>
      <c r="C130" s="69" t="s">
        <v>538</v>
      </c>
      <c r="D130" s="68" t="s">
        <v>240</v>
      </c>
      <c r="E130" s="64" t="s">
        <v>34</v>
      </c>
      <c r="F130" s="2" t="s">
        <v>113</v>
      </c>
      <c r="G130" s="65">
        <v>45637</v>
      </c>
      <c r="H130" s="65">
        <v>46001</v>
      </c>
      <c r="I130" s="66">
        <f ca="1">(Table26[[#This Row],[Ref Date]]-Table26[[#This Row],[Service Start Date ]])/60</f>
        <v>4.9666666666666668</v>
      </c>
      <c r="J130" s="66">
        <f>COUNTIF(Table26[[#This Row],[2025 October
Actual]:[2024 January 
Done by 2]],"&gt;=" &amp;Table26[[#This Row],[Service Start Date ]])</f>
        <v>5</v>
      </c>
      <c r="K130" s="66">
        <f ca="1">Table26[[#This Row],[Actual Services
to be done]]-Table26[[#This Row],[Completed Services]]</f>
        <v>-3.3333333333333215E-2</v>
      </c>
      <c r="L130" s="64" t="s">
        <v>118</v>
      </c>
      <c r="M130" s="67">
        <f ca="1">B130-R130</f>
        <v>22</v>
      </c>
      <c r="N130" s="65">
        <f ca="1">((B130+(-M130+60)))</f>
        <v>45973</v>
      </c>
      <c r="O130" s="65"/>
      <c r="P130" s="65"/>
      <c r="Q130" s="65"/>
      <c r="R130" s="65">
        <v>45913</v>
      </c>
      <c r="S130" s="65" t="s">
        <v>620</v>
      </c>
      <c r="T130" s="65"/>
      <c r="U130" s="65"/>
      <c r="V130" s="65"/>
      <c r="W130" s="65"/>
      <c r="X130" s="65"/>
      <c r="Y130" s="65"/>
      <c r="Z130" s="65"/>
      <c r="AA130" s="65">
        <v>45821</v>
      </c>
      <c r="AB130" s="65" t="s">
        <v>620</v>
      </c>
      <c r="AC130" s="65"/>
      <c r="AD130" s="65"/>
      <c r="AE130" s="65"/>
      <c r="AF130" s="65"/>
      <c r="AG130" s="65"/>
      <c r="AH130" s="65"/>
      <c r="AI130" s="65"/>
      <c r="AJ130" s="65">
        <v>45729</v>
      </c>
      <c r="AK130" s="65" t="s">
        <v>622</v>
      </c>
      <c r="AL130" s="65"/>
      <c r="AM130" s="65">
        <v>45696</v>
      </c>
      <c r="AN130" s="65" t="s">
        <v>622</v>
      </c>
      <c r="AO130" s="65"/>
      <c r="AP130" s="65"/>
      <c r="AQ130" s="65"/>
      <c r="AR130" s="65"/>
      <c r="AS130" s="65">
        <v>45645</v>
      </c>
      <c r="AT130" s="65" t="s">
        <v>620</v>
      </c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</row>
    <row r="131" spans="1:80" s="64" customFormat="1" ht="22" customHeight="1" x14ac:dyDescent="0.2">
      <c r="A131" s="53" t="s">
        <v>37</v>
      </c>
      <c r="B131" s="63">
        <f ca="1">TODAY()</f>
        <v>45935</v>
      </c>
      <c r="C131" s="69" t="s">
        <v>560</v>
      </c>
      <c r="D131" s="68" t="s">
        <v>251</v>
      </c>
      <c r="E131" s="126" t="s">
        <v>19</v>
      </c>
      <c r="F131" s="2" t="s">
        <v>113</v>
      </c>
      <c r="G131" s="65">
        <v>45901</v>
      </c>
      <c r="H131" s="65">
        <v>46265</v>
      </c>
      <c r="I131" s="66">
        <f ca="1">(Table26[[#This Row],[Ref Date]]-Table26[[#This Row],[Service Start Date ]])/35</f>
        <v>0.97142857142857142</v>
      </c>
      <c r="J131" s="66">
        <f>COUNTIF(Table26[[#This Row],[2025 October
Actual]:[2024 January 
Done by 2]],"&gt;=" &amp;Table26[[#This Row],[Service Start Date ]])</f>
        <v>1</v>
      </c>
      <c r="K131" s="66">
        <f ca="1">Table26[[#This Row],[Actual Services
to be done]]-Table26[[#This Row],[Completed Services]]</f>
        <v>-2.8571428571428581E-2</v>
      </c>
      <c r="L131" s="64" t="s">
        <v>119</v>
      </c>
      <c r="M131" s="67">
        <f ca="1">B131-R131</f>
        <v>18</v>
      </c>
      <c r="N131" s="65">
        <f ca="1">((B131+(-M131+35)))</f>
        <v>45952</v>
      </c>
      <c r="O131" s="65"/>
      <c r="P131" s="65"/>
      <c r="Q131" s="65"/>
      <c r="R131" s="65">
        <v>45917</v>
      </c>
      <c r="S131" s="65" t="s">
        <v>620</v>
      </c>
      <c r="T131" s="65"/>
      <c r="U131" s="65">
        <v>45871</v>
      </c>
      <c r="V131" s="65" t="s">
        <v>620</v>
      </c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>
        <v>45755</v>
      </c>
      <c r="AH131" s="65" t="s">
        <v>618</v>
      </c>
      <c r="AI131" s="65"/>
      <c r="AJ131" s="65"/>
      <c r="AK131" s="65"/>
      <c r="AL131" s="65"/>
      <c r="AM131" s="65">
        <v>45716</v>
      </c>
      <c r="AN131" s="65" t="s">
        <v>622</v>
      </c>
      <c r="AO131" s="65"/>
      <c r="AP131" s="65">
        <v>45685</v>
      </c>
      <c r="AQ131" s="65" t="s">
        <v>622</v>
      </c>
      <c r="AR131" s="65"/>
      <c r="AS131" s="65">
        <v>45649</v>
      </c>
      <c r="AT131" s="65" t="s">
        <v>620</v>
      </c>
      <c r="AU131" s="65"/>
      <c r="AV131" s="65">
        <v>45624</v>
      </c>
      <c r="AW131" s="65" t="s">
        <v>622</v>
      </c>
      <c r="AX131" s="65"/>
      <c r="AY131" s="65">
        <v>45589</v>
      </c>
      <c r="AZ131" s="65" t="s">
        <v>615</v>
      </c>
      <c r="BA131" s="65"/>
      <c r="BB131" s="65">
        <v>45565</v>
      </c>
      <c r="BC131" s="65" t="s">
        <v>618</v>
      </c>
      <c r="BD131" s="65"/>
      <c r="BE131" s="65">
        <v>45535</v>
      </c>
      <c r="BF131" s="65" t="s">
        <v>615</v>
      </c>
      <c r="BG131" s="65"/>
      <c r="BH131" s="65"/>
      <c r="BI131" s="65"/>
      <c r="BJ131" s="65"/>
      <c r="BK131" s="65"/>
      <c r="BL131" s="65"/>
      <c r="BM131" s="65"/>
      <c r="BN131" s="65">
        <v>45415</v>
      </c>
      <c r="BO131" s="65" t="s">
        <v>629</v>
      </c>
      <c r="BP131" s="65"/>
      <c r="BQ131" s="65"/>
      <c r="BR131" s="65"/>
      <c r="BS131" s="65"/>
      <c r="BT131" s="87"/>
      <c r="BU131" s="87"/>
      <c r="BV131" s="65"/>
      <c r="BW131" s="65">
        <v>45350</v>
      </c>
      <c r="BX131" s="65" t="s">
        <v>630</v>
      </c>
      <c r="BY131" s="65"/>
      <c r="BZ131" s="65"/>
      <c r="CA131" s="65"/>
      <c r="CB131" s="65"/>
    </row>
    <row r="132" spans="1:80" s="64" customFormat="1" ht="22" customHeight="1" x14ac:dyDescent="0.2">
      <c r="A132" s="53" t="s">
        <v>37</v>
      </c>
      <c r="B132" s="63">
        <f ca="1">TODAY()</f>
        <v>45935</v>
      </c>
      <c r="C132" s="69" t="s">
        <v>466</v>
      </c>
      <c r="D132" s="68" t="s">
        <v>258</v>
      </c>
      <c r="E132" s="126" t="s">
        <v>30</v>
      </c>
      <c r="F132" s="2" t="s">
        <v>112</v>
      </c>
      <c r="G132" s="65">
        <v>45749</v>
      </c>
      <c r="H132" s="65">
        <v>46113</v>
      </c>
      <c r="I132" s="66">
        <f ca="1">(Table26[[#This Row],[Ref Date]]-Table26[[#This Row],[Service Start Date ]])/60</f>
        <v>3.1</v>
      </c>
      <c r="J132" s="66">
        <f>COUNTIF(Table26[[#This Row],[2025 October
Actual]:[2024 January 
Done by 2]],"&gt;=" &amp;Table26[[#This Row],[Service Start Date ]])</f>
        <v>2</v>
      </c>
      <c r="K132" s="66">
        <f ca="1">Table26[[#This Row],[Actual Services
to be done]]-Table26[[#This Row],[Completed Services]]</f>
        <v>1.1000000000000001</v>
      </c>
      <c r="L132" s="64" t="s">
        <v>118</v>
      </c>
      <c r="M132" s="67">
        <f ca="1">B132-U132</f>
        <v>38</v>
      </c>
      <c r="N132" s="65">
        <f ca="1">((B132+(-M132+60-10)))</f>
        <v>45947</v>
      </c>
      <c r="O132" s="65"/>
      <c r="P132" s="65"/>
      <c r="Q132" s="65"/>
      <c r="R132" s="65"/>
      <c r="S132" s="65"/>
      <c r="T132" s="65"/>
      <c r="U132" s="65">
        <v>45897</v>
      </c>
      <c r="V132" s="65" t="s">
        <v>617</v>
      </c>
      <c r="W132" s="65" t="s">
        <v>213</v>
      </c>
      <c r="X132" s="65"/>
      <c r="Y132" s="65"/>
      <c r="Z132" s="65"/>
      <c r="AA132" s="65"/>
      <c r="AB132" s="65"/>
      <c r="AC132" s="65"/>
      <c r="AD132" s="65">
        <v>45784</v>
      </c>
      <c r="AE132" s="65" t="s">
        <v>615</v>
      </c>
      <c r="AF132" s="65"/>
      <c r="AG132" s="65"/>
      <c r="AH132" s="65"/>
      <c r="AI132" s="65"/>
      <c r="AJ132" s="65">
        <v>45720</v>
      </c>
      <c r="AK132" s="65" t="s">
        <v>618</v>
      </c>
      <c r="AL132" s="65"/>
      <c r="AM132" s="65"/>
      <c r="AN132" s="65"/>
      <c r="AO132" s="65"/>
      <c r="AP132" s="65">
        <v>45665</v>
      </c>
      <c r="AQ132" s="65" t="s">
        <v>620</v>
      </c>
      <c r="AR132" s="65"/>
      <c r="AS132" s="65">
        <v>45637</v>
      </c>
      <c r="AT132" s="65" t="s">
        <v>620</v>
      </c>
      <c r="AU132" s="65"/>
      <c r="AV132" s="65">
        <v>45623</v>
      </c>
      <c r="AW132" s="65" t="s">
        <v>620</v>
      </c>
      <c r="AX132" s="65"/>
      <c r="AY132" s="65"/>
      <c r="AZ132" s="65"/>
      <c r="BA132" s="65"/>
      <c r="BB132" s="65">
        <v>45553</v>
      </c>
      <c r="BC132" s="65" t="s">
        <v>618</v>
      </c>
      <c r="BD132" s="65"/>
      <c r="BE132" s="65">
        <v>45505</v>
      </c>
      <c r="BF132" s="65" t="s">
        <v>615</v>
      </c>
      <c r="BG132" s="65"/>
      <c r="BH132" s="65"/>
      <c r="BI132" s="65"/>
      <c r="BJ132" s="65"/>
      <c r="BK132" s="65"/>
      <c r="BL132" s="65"/>
      <c r="BM132" s="65"/>
      <c r="BN132" s="65">
        <v>45416</v>
      </c>
      <c r="BO132" s="65" t="s">
        <v>629</v>
      </c>
      <c r="BP132" s="65"/>
      <c r="BQ132" s="65"/>
      <c r="BR132" s="65"/>
      <c r="BS132" s="65"/>
      <c r="BT132" s="65"/>
      <c r="BU132" s="65"/>
      <c r="BV132" s="65"/>
      <c r="BW132" s="65">
        <v>45335</v>
      </c>
      <c r="BX132" s="65" t="s">
        <v>629</v>
      </c>
      <c r="BY132" s="65"/>
      <c r="BZ132" s="65"/>
      <c r="CA132" s="65"/>
      <c r="CB132" s="65"/>
    </row>
    <row r="133" spans="1:80" s="64" customFormat="1" ht="22" customHeight="1" x14ac:dyDescent="0.2">
      <c r="A133" s="53" t="s">
        <v>37</v>
      </c>
      <c r="B133" s="63">
        <f ca="1">TODAY()</f>
        <v>45935</v>
      </c>
      <c r="C133" s="69" t="s">
        <v>467</v>
      </c>
      <c r="D133" s="68" t="s">
        <v>259</v>
      </c>
      <c r="E133" s="126" t="s">
        <v>30</v>
      </c>
      <c r="F133" s="2" t="s">
        <v>112</v>
      </c>
      <c r="G133" s="65">
        <v>45749</v>
      </c>
      <c r="H133" s="65">
        <v>46113</v>
      </c>
      <c r="I133" s="66">
        <f ca="1">(Table26[[#This Row],[Ref Date]]-Table26[[#This Row],[Service Start Date ]])/60</f>
        <v>3.1</v>
      </c>
      <c r="J133" s="66">
        <f>COUNTIF(Table26[[#This Row],[2025 October
Actual]:[2024 January 
Done by 2]],"&gt;=" &amp;Table26[[#This Row],[Service Start Date ]])</f>
        <v>2</v>
      </c>
      <c r="K133" s="66">
        <f ca="1">Table26[[#This Row],[Actual Services
to be done]]-Table26[[#This Row],[Completed Services]]</f>
        <v>1.1000000000000001</v>
      </c>
      <c r="L133" s="64" t="s">
        <v>118</v>
      </c>
      <c r="M133" s="67">
        <f ca="1">B133-U133</f>
        <v>37</v>
      </c>
      <c r="N133" s="65">
        <f ca="1">((B133+(-M133+60-10)))</f>
        <v>45948</v>
      </c>
      <c r="O133" s="65"/>
      <c r="P133" s="65"/>
      <c r="Q133" s="65"/>
      <c r="R133" s="65"/>
      <c r="S133" s="65"/>
      <c r="T133" s="65"/>
      <c r="U133" s="65">
        <v>45898</v>
      </c>
      <c r="V133" s="65" t="s">
        <v>617</v>
      </c>
      <c r="W133" s="65" t="s">
        <v>213</v>
      </c>
      <c r="X133" s="65"/>
      <c r="Y133" s="65"/>
      <c r="Z133" s="65"/>
      <c r="AA133" s="65"/>
      <c r="AB133" s="65"/>
      <c r="AC133" s="65"/>
      <c r="AD133" s="65">
        <v>45784</v>
      </c>
      <c r="AE133" s="65" t="s">
        <v>615</v>
      </c>
      <c r="AF133" s="65"/>
      <c r="AG133" s="65"/>
      <c r="AH133" s="65"/>
      <c r="AI133" s="65"/>
      <c r="AJ133" s="65">
        <v>45720</v>
      </c>
      <c r="AK133" s="65" t="s">
        <v>618</v>
      </c>
      <c r="AL133" s="65"/>
      <c r="AM133" s="65"/>
      <c r="AN133" s="65"/>
      <c r="AO133" s="65"/>
      <c r="AP133" s="65">
        <v>45666</v>
      </c>
      <c r="AQ133" s="65" t="s">
        <v>620</v>
      </c>
      <c r="AR133" s="65"/>
      <c r="AS133" s="65">
        <v>45637</v>
      </c>
      <c r="AT133" s="65" t="s">
        <v>620</v>
      </c>
      <c r="AU133" s="65"/>
      <c r="AV133" s="65">
        <v>45623</v>
      </c>
      <c r="AW133" s="65" t="s">
        <v>620</v>
      </c>
      <c r="AX133" s="65"/>
      <c r="AY133" s="65"/>
      <c r="AZ133" s="65"/>
      <c r="BA133" s="65"/>
      <c r="BB133" s="65">
        <v>45553</v>
      </c>
      <c r="BC133" s="65" t="s">
        <v>618</v>
      </c>
      <c r="BD133" s="65"/>
      <c r="BE133" s="65">
        <v>45505</v>
      </c>
      <c r="BF133" s="65" t="s">
        <v>615</v>
      </c>
      <c r="BG133" s="65"/>
      <c r="BH133" s="65"/>
      <c r="BI133" s="65"/>
      <c r="BJ133" s="65"/>
      <c r="BK133" s="65"/>
      <c r="BL133" s="65"/>
      <c r="BM133" s="65"/>
      <c r="BN133" s="65">
        <v>45416</v>
      </c>
      <c r="BO133" s="65" t="s">
        <v>629</v>
      </c>
      <c r="BP133" s="65"/>
      <c r="BQ133" s="65"/>
      <c r="BR133" s="65"/>
      <c r="BS133" s="65"/>
      <c r="BT133" s="65"/>
      <c r="BU133" s="65"/>
      <c r="BV133" s="65"/>
      <c r="BW133" s="65">
        <v>45335</v>
      </c>
      <c r="BX133" s="65" t="s">
        <v>629</v>
      </c>
      <c r="BY133" s="65"/>
      <c r="BZ133" s="65"/>
      <c r="CA133" s="65"/>
      <c r="CB133" s="65"/>
    </row>
    <row r="134" spans="1:80" s="64" customFormat="1" ht="22" customHeight="1" x14ac:dyDescent="0.2">
      <c r="A134" s="53" t="s">
        <v>37</v>
      </c>
      <c r="B134" s="63">
        <f ca="1">TODAY()</f>
        <v>45935</v>
      </c>
      <c r="C134" s="69" t="s">
        <v>461</v>
      </c>
      <c r="D134" s="68" t="s">
        <v>253</v>
      </c>
      <c r="E134" s="64" t="s">
        <v>30</v>
      </c>
      <c r="F134" s="2" t="s">
        <v>112</v>
      </c>
      <c r="G134" s="65">
        <v>45749</v>
      </c>
      <c r="H134" s="65">
        <v>46113</v>
      </c>
      <c r="I134" s="66">
        <f ca="1">(Table26[[#This Row],[Ref Date]]-Table26[[#This Row],[Service Start Date ]])/60</f>
        <v>3.1</v>
      </c>
      <c r="J134" s="66">
        <f>COUNTIF(Table26[[#This Row],[2025 October
Actual]:[2024 January 
Done by 2]],"&gt;=" &amp;Table26[[#This Row],[Service Start Date ]])</f>
        <v>3</v>
      </c>
      <c r="K134" s="66">
        <f ca="1">Table26[[#This Row],[Actual Services
to be done]]-Table26[[#This Row],[Completed Services]]</f>
        <v>0.10000000000000009</v>
      </c>
      <c r="L134" s="64" t="s">
        <v>118</v>
      </c>
      <c r="M134" s="67">
        <f ca="1">B134-U134</f>
        <v>40</v>
      </c>
      <c r="N134" s="65">
        <f ca="1">((B134+(-M134+60)))</f>
        <v>45955</v>
      </c>
      <c r="O134" s="65"/>
      <c r="P134" s="65"/>
      <c r="Q134" s="65"/>
      <c r="R134" s="65"/>
      <c r="S134" s="65"/>
      <c r="T134" s="65"/>
      <c r="U134" s="65">
        <v>45895</v>
      </c>
      <c r="V134" s="65" t="s">
        <v>617</v>
      </c>
      <c r="W134" s="65" t="s">
        <v>213</v>
      </c>
      <c r="X134" s="65">
        <v>45853</v>
      </c>
      <c r="Y134" s="65" t="s">
        <v>620</v>
      </c>
      <c r="Z134" s="65"/>
      <c r="AA134" s="65"/>
      <c r="AB134" s="65"/>
      <c r="AC134" s="65"/>
      <c r="AD134" s="65">
        <v>45784</v>
      </c>
      <c r="AE134" s="65" t="s">
        <v>618</v>
      </c>
      <c r="AF134" s="65"/>
      <c r="AG134" s="65"/>
      <c r="AH134" s="65"/>
      <c r="AI134" s="65"/>
      <c r="AJ134" s="65">
        <v>45720</v>
      </c>
      <c r="AK134" s="65" t="s">
        <v>618</v>
      </c>
      <c r="AL134" s="65"/>
      <c r="AM134" s="65"/>
      <c r="AN134" s="65"/>
      <c r="AO134" s="65"/>
      <c r="AP134" s="65">
        <v>45664</v>
      </c>
      <c r="AQ134" s="65" t="s">
        <v>620</v>
      </c>
      <c r="AR134" s="65"/>
      <c r="AS134" s="65">
        <v>45636</v>
      </c>
      <c r="AT134" s="65" t="s">
        <v>620</v>
      </c>
      <c r="AU134" s="65"/>
      <c r="AV134" s="65">
        <v>45616</v>
      </c>
      <c r="AW134" s="65" t="s">
        <v>615</v>
      </c>
      <c r="AX134" s="65"/>
      <c r="AY134" s="65"/>
      <c r="AZ134" s="65"/>
      <c r="BA134" s="65"/>
      <c r="BB134" s="65">
        <v>45553</v>
      </c>
      <c r="BC134" s="65" t="s">
        <v>615</v>
      </c>
      <c r="BD134" s="65"/>
      <c r="BE134" s="65">
        <v>45505</v>
      </c>
      <c r="BF134" s="65" t="s">
        <v>622</v>
      </c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>
        <v>45410</v>
      </c>
      <c r="BR134" s="65" t="s">
        <v>629</v>
      </c>
      <c r="BS134" s="65"/>
      <c r="BT134" s="65"/>
      <c r="BU134" s="65"/>
      <c r="BV134" s="65"/>
      <c r="BW134" s="65">
        <v>45335</v>
      </c>
      <c r="BX134" s="65" t="s">
        <v>630</v>
      </c>
      <c r="BY134" s="65"/>
      <c r="BZ134" s="65"/>
      <c r="CA134" s="65"/>
      <c r="CB134" s="65"/>
    </row>
    <row r="135" spans="1:80" s="64" customFormat="1" ht="22" customHeight="1" x14ac:dyDescent="0.2">
      <c r="A135" s="53" t="s">
        <v>37</v>
      </c>
      <c r="B135" s="63">
        <f ca="1">TODAY()</f>
        <v>45935</v>
      </c>
      <c r="C135" s="69" t="s">
        <v>462</v>
      </c>
      <c r="D135" s="68" t="s">
        <v>254</v>
      </c>
      <c r="E135" s="64" t="s">
        <v>30</v>
      </c>
      <c r="F135" s="2" t="s">
        <v>112</v>
      </c>
      <c r="G135" s="65">
        <v>45749</v>
      </c>
      <c r="H135" s="65">
        <v>46113</v>
      </c>
      <c r="I135" s="66">
        <f ca="1">(Table26[[#This Row],[Ref Date]]-Table26[[#This Row],[Service Start Date ]])/60</f>
        <v>3.1</v>
      </c>
      <c r="J135" s="66">
        <f>COUNTIF(Table26[[#This Row],[2025 October
Actual]:[2024 January 
Done by 2]],"&gt;=" &amp;Table26[[#This Row],[Service Start Date ]])</f>
        <v>3</v>
      </c>
      <c r="K135" s="66">
        <f ca="1">Table26[[#This Row],[Actual Services
to be done]]-Table26[[#This Row],[Completed Services]]</f>
        <v>0.10000000000000009</v>
      </c>
      <c r="L135" s="64" t="s">
        <v>118</v>
      </c>
      <c r="M135" s="67">
        <f ca="1">B135-U135</f>
        <v>40</v>
      </c>
      <c r="N135" s="65">
        <f ca="1">((B135+(-M135+60)))</f>
        <v>45955</v>
      </c>
      <c r="O135" s="65"/>
      <c r="P135" s="65"/>
      <c r="Q135" s="65"/>
      <c r="R135" s="65"/>
      <c r="S135" s="65"/>
      <c r="T135" s="65"/>
      <c r="U135" s="65">
        <v>45895</v>
      </c>
      <c r="V135" s="65" t="s">
        <v>617</v>
      </c>
      <c r="W135" s="65" t="s">
        <v>213</v>
      </c>
      <c r="X135" s="65">
        <v>45853</v>
      </c>
      <c r="Y135" s="65" t="s">
        <v>620</v>
      </c>
      <c r="Z135" s="65"/>
      <c r="AA135" s="65"/>
      <c r="AB135" s="65"/>
      <c r="AC135" s="65"/>
      <c r="AD135" s="65">
        <v>45784</v>
      </c>
      <c r="AE135" s="65" t="s">
        <v>618</v>
      </c>
      <c r="AF135" s="65"/>
      <c r="AG135" s="65"/>
      <c r="AH135" s="65"/>
      <c r="AI135" s="65"/>
      <c r="AJ135" s="65">
        <v>45720</v>
      </c>
      <c r="AK135" s="65" t="s">
        <v>618</v>
      </c>
      <c r="AL135" s="65"/>
      <c r="AM135" s="65"/>
      <c r="AN135" s="65"/>
      <c r="AO135" s="65"/>
      <c r="AP135" s="65">
        <v>45664</v>
      </c>
      <c r="AQ135" s="65" t="s">
        <v>620</v>
      </c>
      <c r="AR135" s="65"/>
      <c r="AS135" s="65">
        <v>45636</v>
      </c>
      <c r="AT135" s="65" t="s">
        <v>620</v>
      </c>
      <c r="AU135" s="65"/>
      <c r="AV135" s="65">
        <v>45616</v>
      </c>
      <c r="AW135" s="65" t="s">
        <v>615</v>
      </c>
      <c r="AX135" s="65"/>
      <c r="AY135" s="65"/>
      <c r="AZ135" s="65"/>
      <c r="BA135" s="65"/>
      <c r="BB135" s="65">
        <v>45553</v>
      </c>
      <c r="BC135" s="65" t="s">
        <v>615</v>
      </c>
      <c r="BD135" s="65"/>
      <c r="BE135" s="65">
        <v>45505</v>
      </c>
      <c r="BF135" s="65" t="s">
        <v>622</v>
      </c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>
        <v>45410</v>
      </c>
      <c r="BR135" s="65" t="s">
        <v>629</v>
      </c>
      <c r="BS135" s="65"/>
      <c r="BT135" s="65"/>
      <c r="BU135" s="65"/>
      <c r="BV135" s="65"/>
      <c r="BW135" s="65">
        <v>45335</v>
      </c>
      <c r="BX135" s="65" t="s">
        <v>630</v>
      </c>
      <c r="BY135" s="65"/>
      <c r="BZ135" s="65"/>
      <c r="CA135" s="65"/>
      <c r="CB135" s="65"/>
    </row>
    <row r="136" spans="1:80" s="64" customFormat="1" ht="22" customHeight="1" x14ac:dyDescent="0.2">
      <c r="A136" s="53" t="s">
        <v>37</v>
      </c>
      <c r="B136" s="63">
        <f ca="1">TODAY()</f>
        <v>45935</v>
      </c>
      <c r="C136" s="69" t="s">
        <v>463</v>
      </c>
      <c r="D136" s="68" t="s">
        <v>255</v>
      </c>
      <c r="E136" s="64" t="s">
        <v>30</v>
      </c>
      <c r="F136" s="2" t="s">
        <v>112</v>
      </c>
      <c r="G136" s="65">
        <v>45749</v>
      </c>
      <c r="H136" s="65">
        <v>46113</v>
      </c>
      <c r="I136" s="66">
        <f ca="1">(Table26[[#This Row],[Ref Date]]-Table26[[#This Row],[Service Start Date ]])/60</f>
        <v>3.1</v>
      </c>
      <c r="J136" s="66">
        <f>COUNTIF(Table26[[#This Row],[2025 October
Actual]:[2024 January 
Done by 2]],"&gt;=" &amp;Table26[[#This Row],[Service Start Date ]])</f>
        <v>3</v>
      </c>
      <c r="K136" s="66">
        <f ca="1">Table26[[#This Row],[Actual Services
to be done]]-Table26[[#This Row],[Completed Services]]</f>
        <v>0.10000000000000009</v>
      </c>
      <c r="L136" s="64" t="s">
        <v>118</v>
      </c>
      <c r="M136" s="67">
        <f ca="1">B136-U136</f>
        <v>40</v>
      </c>
      <c r="N136" s="65">
        <f ca="1">((B136+(-M136+60)))</f>
        <v>45955</v>
      </c>
      <c r="O136" s="65"/>
      <c r="P136" s="65"/>
      <c r="Q136" s="65"/>
      <c r="R136" s="65"/>
      <c r="S136" s="65"/>
      <c r="T136" s="65"/>
      <c r="U136" s="65">
        <v>45895</v>
      </c>
      <c r="V136" s="65" t="s">
        <v>617</v>
      </c>
      <c r="W136" s="65" t="s">
        <v>213</v>
      </c>
      <c r="X136" s="65">
        <v>45853</v>
      </c>
      <c r="Y136" s="65" t="s">
        <v>620</v>
      </c>
      <c r="Z136" s="65"/>
      <c r="AA136" s="65"/>
      <c r="AB136" s="65"/>
      <c r="AC136" s="65"/>
      <c r="AD136" s="65">
        <v>45784</v>
      </c>
      <c r="AE136" s="65" t="s">
        <v>618</v>
      </c>
      <c r="AF136" s="65"/>
      <c r="AG136" s="65"/>
      <c r="AH136" s="65"/>
      <c r="AI136" s="65"/>
      <c r="AJ136" s="65">
        <v>45720</v>
      </c>
      <c r="AK136" s="65" t="s">
        <v>618</v>
      </c>
      <c r="AL136" s="65"/>
      <c r="AM136" s="65"/>
      <c r="AN136" s="65"/>
      <c r="AO136" s="65"/>
      <c r="AP136" s="65">
        <v>45664</v>
      </c>
      <c r="AQ136" s="65" t="s">
        <v>620</v>
      </c>
      <c r="AR136" s="65"/>
      <c r="AS136" s="65">
        <v>45636</v>
      </c>
      <c r="AT136" s="65" t="s">
        <v>620</v>
      </c>
      <c r="AU136" s="65"/>
      <c r="AV136" s="65">
        <v>45616</v>
      </c>
      <c r="AW136" s="65" t="s">
        <v>615</v>
      </c>
      <c r="AX136" s="65"/>
      <c r="AY136" s="65"/>
      <c r="AZ136" s="65"/>
      <c r="BA136" s="65"/>
      <c r="BB136" s="65">
        <v>45553</v>
      </c>
      <c r="BC136" s="65" t="s">
        <v>615</v>
      </c>
      <c r="BD136" s="65"/>
      <c r="BE136" s="65">
        <v>45505</v>
      </c>
      <c r="BF136" s="65" t="s">
        <v>622</v>
      </c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>
        <v>45410</v>
      </c>
      <c r="BR136" s="65" t="s">
        <v>629</v>
      </c>
      <c r="BS136" s="65"/>
      <c r="BT136" s="65"/>
      <c r="BU136" s="65"/>
      <c r="BV136" s="65"/>
      <c r="BW136" s="65">
        <v>45335</v>
      </c>
      <c r="BX136" s="65" t="s">
        <v>630</v>
      </c>
      <c r="BY136" s="65"/>
      <c r="BZ136" s="65"/>
      <c r="CA136" s="65"/>
      <c r="CB136" s="65"/>
    </row>
    <row r="137" spans="1:80" s="64" customFormat="1" ht="22" customHeight="1" x14ac:dyDescent="0.2">
      <c r="A137" s="53" t="s">
        <v>37</v>
      </c>
      <c r="B137" s="63">
        <f ca="1">TODAY()</f>
        <v>45935</v>
      </c>
      <c r="C137" s="69" t="s">
        <v>464</v>
      </c>
      <c r="D137" s="68" t="s">
        <v>256</v>
      </c>
      <c r="E137" s="64" t="s">
        <v>30</v>
      </c>
      <c r="F137" s="2" t="s">
        <v>112</v>
      </c>
      <c r="G137" s="65">
        <v>45749</v>
      </c>
      <c r="H137" s="65">
        <v>46113</v>
      </c>
      <c r="I137" s="66">
        <f ca="1">(Table26[[#This Row],[Ref Date]]-Table26[[#This Row],[Service Start Date ]])/60</f>
        <v>3.1</v>
      </c>
      <c r="J137" s="66">
        <f>COUNTIF(Table26[[#This Row],[2025 October
Actual]:[2024 January 
Done by 2]],"&gt;=" &amp;Table26[[#This Row],[Service Start Date ]])</f>
        <v>3</v>
      </c>
      <c r="K137" s="66">
        <f ca="1">Table26[[#This Row],[Actual Services
to be done]]-Table26[[#This Row],[Completed Services]]</f>
        <v>0.10000000000000009</v>
      </c>
      <c r="L137" s="64" t="s">
        <v>118</v>
      </c>
      <c r="M137" s="67">
        <f ca="1">B137-U137</f>
        <v>38</v>
      </c>
      <c r="N137" s="65">
        <f ca="1">((B137+(-M137+60)))</f>
        <v>45957</v>
      </c>
      <c r="O137" s="65"/>
      <c r="P137" s="65"/>
      <c r="Q137" s="65"/>
      <c r="R137" s="65"/>
      <c r="S137" s="65"/>
      <c r="T137" s="65"/>
      <c r="U137" s="65">
        <v>45897</v>
      </c>
      <c r="V137" s="65" t="s">
        <v>617</v>
      </c>
      <c r="W137" s="65" t="s">
        <v>213</v>
      </c>
      <c r="X137" s="65">
        <v>45853</v>
      </c>
      <c r="Y137" s="65" t="s">
        <v>620</v>
      </c>
      <c r="Z137" s="65"/>
      <c r="AA137" s="65"/>
      <c r="AB137" s="65"/>
      <c r="AC137" s="65"/>
      <c r="AD137" s="65">
        <v>45784</v>
      </c>
      <c r="AE137" s="65" t="s">
        <v>618</v>
      </c>
      <c r="AF137" s="65"/>
      <c r="AG137" s="65"/>
      <c r="AH137" s="65"/>
      <c r="AI137" s="65"/>
      <c r="AJ137" s="65">
        <v>45719</v>
      </c>
      <c r="AK137" s="65" t="s">
        <v>618</v>
      </c>
      <c r="AL137" s="65"/>
      <c r="AM137" s="65"/>
      <c r="AN137" s="65"/>
      <c r="AO137" s="65"/>
      <c r="AP137" s="65">
        <v>45664</v>
      </c>
      <c r="AQ137" s="65" t="s">
        <v>620</v>
      </c>
      <c r="AR137" s="65"/>
      <c r="AS137" s="65">
        <v>45636</v>
      </c>
      <c r="AT137" s="65" t="s">
        <v>620</v>
      </c>
      <c r="AU137" s="65"/>
      <c r="AV137" s="65">
        <v>45616</v>
      </c>
      <c r="AW137" s="65" t="s">
        <v>615</v>
      </c>
      <c r="AX137" s="65"/>
      <c r="AY137" s="65"/>
      <c r="AZ137" s="65"/>
      <c r="BA137" s="65"/>
      <c r="BB137" s="65">
        <v>45553</v>
      </c>
      <c r="BC137" s="65" t="s">
        <v>615</v>
      </c>
      <c r="BD137" s="65"/>
      <c r="BE137" s="65">
        <v>45505</v>
      </c>
      <c r="BF137" s="65" t="s">
        <v>622</v>
      </c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>
        <v>45410</v>
      </c>
      <c r="BR137" s="65" t="s">
        <v>629</v>
      </c>
      <c r="BS137" s="65"/>
      <c r="BT137" s="65"/>
      <c r="BU137" s="65"/>
      <c r="BV137" s="65"/>
      <c r="BW137" s="65">
        <v>45335</v>
      </c>
      <c r="BX137" s="65" t="s">
        <v>630</v>
      </c>
      <c r="BY137" s="65"/>
      <c r="BZ137" s="65"/>
      <c r="CA137" s="65"/>
      <c r="CB137" s="65"/>
    </row>
    <row r="138" spans="1:80" s="64" customFormat="1" ht="22" customHeight="1" x14ac:dyDescent="0.2">
      <c r="A138" s="53" t="s">
        <v>37</v>
      </c>
      <c r="B138" s="63">
        <f ca="1">TODAY()</f>
        <v>45935</v>
      </c>
      <c r="C138" s="69" t="s">
        <v>465</v>
      </c>
      <c r="D138" s="68" t="s">
        <v>257</v>
      </c>
      <c r="E138" s="64" t="s">
        <v>30</v>
      </c>
      <c r="F138" s="2" t="s">
        <v>112</v>
      </c>
      <c r="G138" s="65">
        <v>45749</v>
      </c>
      <c r="H138" s="65">
        <v>46113</v>
      </c>
      <c r="I138" s="66">
        <f ca="1">(Table26[[#This Row],[Ref Date]]-Table26[[#This Row],[Service Start Date ]])/60</f>
        <v>3.1</v>
      </c>
      <c r="J138" s="66">
        <f>COUNTIF(Table26[[#This Row],[2025 October
Actual]:[2024 January 
Done by 2]],"&gt;=" &amp;Table26[[#This Row],[Service Start Date ]])</f>
        <v>3</v>
      </c>
      <c r="K138" s="66">
        <f ca="1">Table26[[#This Row],[Actual Services
to be done]]-Table26[[#This Row],[Completed Services]]</f>
        <v>0.10000000000000009</v>
      </c>
      <c r="L138" s="64" t="s">
        <v>118</v>
      </c>
      <c r="M138" s="67">
        <f ca="1">B138-U138</f>
        <v>38</v>
      </c>
      <c r="N138" s="65">
        <f ca="1">((B138+(-M138+60)))</f>
        <v>45957</v>
      </c>
      <c r="O138" s="65"/>
      <c r="P138" s="65"/>
      <c r="Q138" s="65"/>
      <c r="R138" s="65"/>
      <c r="S138" s="65"/>
      <c r="T138" s="65"/>
      <c r="U138" s="65">
        <v>45897</v>
      </c>
      <c r="V138" s="65" t="s">
        <v>617</v>
      </c>
      <c r="W138" s="65" t="s">
        <v>213</v>
      </c>
      <c r="X138" s="65">
        <v>45853</v>
      </c>
      <c r="Y138" s="65" t="s">
        <v>620</v>
      </c>
      <c r="Z138" s="65"/>
      <c r="AA138" s="65"/>
      <c r="AB138" s="65"/>
      <c r="AC138" s="65"/>
      <c r="AD138" s="65">
        <v>45784</v>
      </c>
      <c r="AE138" s="65" t="s">
        <v>618</v>
      </c>
      <c r="AF138" s="65"/>
      <c r="AG138" s="65"/>
      <c r="AH138" s="65"/>
      <c r="AI138" s="65"/>
      <c r="AJ138" s="65">
        <v>45719</v>
      </c>
      <c r="AK138" s="65" t="s">
        <v>618</v>
      </c>
      <c r="AL138" s="65"/>
      <c r="AM138" s="65"/>
      <c r="AN138" s="65"/>
      <c r="AO138" s="65"/>
      <c r="AP138" s="65">
        <v>45664</v>
      </c>
      <c r="AQ138" s="65" t="s">
        <v>620</v>
      </c>
      <c r="AR138" s="65"/>
      <c r="AS138" s="65">
        <v>45636</v>
      </c>
      <c r="AT138" s="65" t="s">
        <v>620</v>
      </c>
      <c r="AU138" s="65"/>
      <c r="AV138" s="65">
        <v>45616</v>
      </c>
      <c r="AW138" s="65" t="s">
        <v>615</v>
      </c>
      <c r="AX138" s="65"/>
      <c r="AY138" s="65"/>
      <c r="AZ138" s="65"/>
      <c r="BA138" s="65"/>
      <c r="BB138" s="65">
        <v>45553</v>
      </c>
      <c r="BC138" s="65" t="s">
        <v>615</v>
      </c>
      <c r="BD138" s="65"/>
      <c r="BE138" s="65">
        <v>45505</v>
      </c>
      <c r="BF138" s="65" t="s">
        <v>622</v>
      </c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>
        <v>45410</v>
      </c>
      <c r="BR138" s="65" t="s">
        <v>629</v>
      </c>
      <c r="BS138" s="65"/>
      <c r="BT138" s="65"/>
      <c r="BU138" s="65"/>
      <c r="BV138" s="65"/>
      <c r="BW138" s="65">
        <v>45335</v>
      </c>
      <c r="BX138" s="65" t="s">
        <v>630</v>
      </c>
      <c r="BY138" s="65"/>
      <c r="BZ138" s="65"/>
      <c r="CA138" s="65"/>
      <c r="CB138" s="65"/>
    </row>
    <row r="139" spans="1:80" s="64" customFormat="1" ht="22" customHeight="1" x14ac:dyDescent="0.2">
      <c r="A139" s="53" t="s">
        <v>37</v>
      </c>
      <c r="B139" s="63">
        <f ca="1">TODAY()</f>
        <v>45935</v>
      </c>
      <c r="C139" s="69" t="s">
        <v>468</v>
      </c>
      <c r="D139" s="68" t="s">
        <v>260</v>
      </c>
      <c r="E139" s="126" t="s">
        <v>30</v>
      </c>
      <c r="F139" s="2" t="s">
        <v>112</v>
      </c>
      <c r="G139" s="65">
        <v>45749</v>
      </c>
      <c r="H139" s="65">
        <v>46113</v>
      </c>
      <c r="I139" s="66">
        <f ca="1">(Table26[[#This Row],[Ref Date]]-Table26[[#This Row],[Service Start Date ]])/60</f>
        <v>3.1</v>
      </c>
      <c r="J139" s="66">
        <f>COUNTIF(Table26[[#This Row],[2025 October
Actual]:[2024 January 
Done by 2]],"&gt;=" &amp;Table26[[#This Row],[Service Start Date ]])</f>
        <v>2</v>
      </c>
      <c r="K139" s="66">
        <f ca="1">Table26[[#This Row],[Actual Services
to be done]]-Table26[[#This Row],[Completed Services]]</f>
        <v>1.1000000000000001</v>
      </c>
      <c r="L139" s="64" t="s">
        <v>118</v>
      </c>
      <c r="M139" s="67">
        <f ca="1">B139-U139</f>
        <v>37</v>
      </c>
      <c r="N139" s="65">
        <f ca="1">((B139+(-M139+60-10)))</f>
        <v>45948</v>
      </c>
      <c r="O139" s="65"/>
      <c r="P139" s="65"/>
      <c r="Q139" s="65"/>
      <c r="R139" s="65"/>
      <c r="S139" s="65"/>
      <c r="T139" s="65"/>
      <c r="U139" s="65">
        <v>45898</v>
      </c>
      <c r="V139" s="65" t="s">
        <v>617</v>
      </c>
      <c r="W139" s="65" t="s">
        <v>213</v>
      </c>
      <c r="X139" s="65"/>
      <c r="Y139" s="65"/>
      <c r="Z139" s="65"/>
      <c r="AA139" s="65"/>
      <c r="AB139" s="65"/>
      <c r="AC139" s="65"/>
      <c r="AD139" s="65">
        <v>45784</v>
      </c>
      <c r="AE139" s="65" t="s">
        <v>615</v>
      </c>
      <c r="AF139" s="65"/>
      <c r="AG139" s="65"/>
      <c r="AH139" s="65"/>
      <c r="AI139" s="65"/>
      <c r="AJ139" s="65">
        <v>45720</v>
      </c>
      <c r="AK139" s="65" t="s">
        <v>620</v>
      </c>
      <c r="AL139" s="65"/>
      <c r="AM139" s="65"/>
      <c r="AN139" s="65"/>
      <c r="AO139" s="65"/>
      <c r="AP139" s="65">
        <v>45666</v>
      </c>
      <c r="AQ139" s="65" t="s">
        <v>620</v>
      </c>
      <c r="AR139" s="65"/>
      <c r="AS139" s="65">
        <v>45637</v>
      </c>
      <c r="AT139" s="65" t="s">
        <v>620</v>
      </c>
      <c r="AU139" s="65"/>
      <c r="AV139" s="65">
        <v>45623</v>
      </c>
      <c r="AW139" s="65" t="s">
        <v>620</v>
      </c>
      <c r="AX139" s="65"/>
      <c r="AY139" s="65"/>
      <c r="AZ139" s="65"/>
      <c r="BA139" s="65"/>
      <c r="BB139" s="65">
        <v>45553</v>
      </c>
      <c r="BC139" s="65" t="s">
        <v>618</v>
      </c>
      <c r="BD139" s="65"/>
      <c r="BE139" s="65">
        <v>45505</v>
      </c>
      <c r="BF139" s="65" t="s">
        <v>615</v>
      </c>
      <c r="BG139" s="65"/>
      <c r="BH139" s="65"/>
      <c r="BI139" s="65"/>
      <c r="BJ139" s="65"/>
      <c r="BK139" s="65"/>
      <c r="BL139" s="65"/>
      <c r="BM139" s="65"/>
      <c r="BN139" s="65">
        <v>45416</v>
      </c>
      <c r="BO139" s="65" t="s">
        <v>629</v>
      </c>
      <c r="BP139" s="65"/>
      <c r="BQ139" s="65"/>
      <c r="BR139" s="65"/>
      <c r="BS139" s="65"/>
      <c r="BT139" s="65"/>
      <c r="BU139" s="65"/>
      <c r="BV139" s="65"/>
      <c r="BW139" s="65">
        <v>45335</v>
      </c>
      <c r="BX139" s="65" t="s">
        <v>629</v>
      </c>
      <c r="BY139" s="65"/>
      <c r="BZ139" s="65"/>
      <c r="CA139" s="65"/>
      <c r="CB139" s="65"/>
    </row>
    <row r="140" spans="1:80" s="64" customFormat="1" ht="22" customHeight="1" x14ac:dyDescent="0.2">
      <c r="A140" s="53" t="s">
        <v>37</v>
      </c>
      <c r="B140" s="63">
        <f ca="1">TODAY()</f>
        <v>45935</v>
      </c>
      <c r="C140" s="69" t="s">
        <v>469</v>
      </c>
      <c r="D140" s="68" t="s">
        <v>261</v>
      </c>
      <c r="E140" s="64" t="s">
        <v>30</v>
      </c>
      <c r="F140" s="2" t="s">
        <v>112</v>
      </c>
      <c r="G140" s="65">
        <v>45749</v>
      </c>
      <c r="H140" s="65">
        <v>46113</v>
      </c>
      <c r="I140" s="66">
        <f ca="1">(Table26[[#This Row],[Ref Date]]-Table26[[#This Row],[Service Start Date ]])/60</f>
        <v>3.1</v>
      </c>
      <c r="J140" s="66">
        <f>COUNTIF(Table26[[#This Row],[2025 October
Actual]:[2024 January 
Done by 2]],"&gt;=" &amp;Table26[[#This Row],[Service Start Date ]])</f>
        <v>2</v>
      </c>
      <c r="K140" s="66">
        <f ca="1">Table26[[#This Row],[Actual Services
to be done]]-Table26[[#This Row],[Completed Services]]</f>
        <v>1.1000000000000001</v>
      </c>
      <c r="L140" s="64" t="s">
        <v>118</v>
      </c>
      <c r="M140" s="67">
        <f ca="1">B140-U140</f>
        <v>37</v>
      </c>
      <c r="N140" s="65">
        <f ca="1">((B140+(-M140+60-10)))</f>
        <v>45948</v>
      </c>
      <c r="O140" s="65"/>
      <c r="P140" s="65"/>
      <c r="Q140" s="65"/>
      <c r="R140" s="65"/>
      <c r="S140" s="65"/>
      <c r="T140" s="65"/>
      <c r="U140" s="65">
        <v>45898</v>
      </c>
      <c r="V140" s="65" t="s">
        <v>617</v>
      </c>
      <c r="W140" s="65" t="s">
        <v>213</v>
      </c>
      <c r="X140" s="65"/>
      <c r="Y140" s="65"/>
      <c r="Z140" s="65"/>
      <c r="AA140" s="65"/>
      <c r="AB140" s="65"/>
      <c r="AC140" s="65"/>
      <c r="AD140" s="65">
        <v>45784</v>
      </c>
      <c r="AE140" s="65" t="s">
        <v>615</v>
      </c>
      <c r="AF140" s="65"/>
      <c r="AG140" s="65"/>
      <c r="AH140" s="65"/>
      <c r="AI140" s="65"/>
      <c r="AJ140" s="65">
        <v>45720</v>
      </c>
      <c r="AK140" s="65" t="s">
        <v>620</v>
      </c>
      <c r="AL140" s="65"/>
      <c r="AM140" s="65"/>
      <c r="AN140" s="65"/>
      <c r="AO140" s="65"/>
      <c r="AP140" s="65">
        <v>45666</v>
      </c>
      <c r="AQ140" s="65" t="s">
        <v>620</v>
      </c>
      <c r="AR140" s="65"/>
      <c r="AS140" s="65">
        <v>45637</v>
      </c>
      <c r="AT140" s="65" t="s">
        <v>620</v>
      </c>
      <c r="AU140" s="65"/>
      <c r="AV140" s="65">
        <v>45623</v>
      </c>
      <c r="AW140" s="65" t="s">
        <v>620</v>
      </c>
      <c r="AX140" s="65"/>
      <c r="AY140" s="65"/>
      <c r="AZ140" s="65"/>
      <c r="BA140" s="65"/>
      <c r="BB140" s="65">
        <v>45553</v>
      </c>
      <c r="BC140" s="65" t="s">
        <v>618</v>
      </c>
      <c r="BD140" s="65"/>
      <c r="BE140" s="65">
        <v>45505</v>
      </c>
      <c r="BF140" s="65" t="s">
        <v>615</v>
      </c>
      <c r="BG140" s="65"/>
      <c r="BH140" s="65"/>
      <c r="BI140" s="65"/>
      <c r="BJ140" s="65"/>
      <c r="BK140" s="65"/>
      <c r="BL140" s="65"/>
      <c r="BM140" s="65"/>
      <c r="BN140" s="65">
        <v>45416</v>
      </c>
      <c r="BO140" s="65" t="s">
        <v>629</v>
      </c>
      <c r="BP140" s="65"/>
      <c r="BQ140" s="65"/>
      <c r="BR140" s="65"/>
      <c r="BS140" s="65"/>
      <c r="BT140" s="65"/>
      <c r="BU140" s="65"/>
      <c r="BV140" s="65"/>
      <c r="BW140" s="65">
        <v>45335</v>
      </c>
      <c r="BX140" s="65" t="s">
        <v>629</v>
      </c>
      <c r="BY140" s="65"/>
      <c r="BZ140" s="65"/>
      <c r="CA140" s="65"/>
      <c r="CB140" s="65"/>
    </row>
    <row r="141" spans="1:80" s="64" customFormat="1" ht="22" customHeight="1" x14ac:dyDescent="0.2">
      <c r="A141" s="53" t="s">
        <v>37</v>
      </c>
      <c r="B141" s="63">
        <f ca="1">TODAY()</f>
        <v>45935</v>
      </c>
      <c r="C141" s="69" t="s">
        <v>470</v>
      </c>
      <c r="D141" s="68" t="s">
        <v>262</v>
      </c>
      <c r="E141" s="64" t="s">
        <v>30</v>
      </c>
      <c r="F141" s="2" t="s">
        <v>112</v>
      </c>
      <c r="G141" s="65">
        <v>45749</v>
      </c>
      <c r="H141" s="65">
        <v>46113</v>
      </c>
      <c r="I141" s="66">
        <f ca="1">(Table26[[#This Row],[Ref Date]]-Table26[[#This Row],[Service Start Date ]])/60</f>
        <v>3.1</v>
      </c>
      <c r="J141" s="66">
        <f>COUNTIF(Table26[[#This Row],[2025 October
Actual]:[2024 January 
Done by 2]],"&gt;=" &amp;Table26[[#This Row],[Service Start Date ]])</f>
        <v>2</v>
      </c>
      <c r="K141" s="66">
        <f ca="1">Table26[[#This Row],[Actual Services
to be done]]-Table26[[#This Row],[Completed Services]]</f>
        <v>1.1000000000000001</v>
      </c>
      <c r="L141" s="64" t="s">
        <v>118</v>
      </c>
      <c r="M141" s="67">
        <f ca="1">B141-U141</f>
        <v>37</v>
      </c>
      <c r="N141" s="65">
        <f ca="1">((B141+(-M141+60-10)))</f>
        <v>45948</v>
      </c>
      <c r="O141" s="65"/>
      <c r="P141" s="65"/>
      <c r="Q141" s="65"/>
      <c r="R141" s="65"/>
      <c r="S141" s="65"/>
      <c r="T141" s="65"/>
      <c r="U141" s="65">
        <v>45898</v>
      </c>
      <c r="V141" s="65" t="s">
        <v>617</v>
      </c>
      <c r="W141" s="65" t="s">
        <v>213</v>
      </c>
      <c r="X141" s="65"/>
      <c r="Y141" s="65"/>
      <c r="Z141" s="65"/>
      <c r="AA141" s="65"/>
      <c r="AB141" s="65"/>
      <c r="AC141" s="65"/>
      <c r="AD141" s="65">
        <v>45784</v>
      </c>
      <c r="AE141" s="65" t="s">
        <v>615</v>
      </c>
      <c r="AF141" s="65"/>
      <c r="AG141" s="65"/>
      <c r="AH141" s="65"/>
      <c r="AI141" s="65"/>
      <c r="AJ141" s="65">
        <v>45720</v>
      </c>
      <c r="AK141" s="65" t="s">
        <v>620</v>
      </c>
      <c r="AL141" s="65"/>
      <c r="AM141" s="65"/>
      <c r="AN141" s="65"/>
      <c r="AO141" s="65"/>
      <c r="AP141" s="65">
        <v>45666</v>
      </c>
      <c r="AQ141" s="65" t="s">
        <v>620</v>
      </c>
      <c r="AR141" s="65"/>
      <c r="AS141" s="65">
        <v>45637</v>
      </c>
      <c r="AT141" s="65" t="s">
        <v>620</v>
      </c>
      <c r="AU141" s="65"/>
      <c r="AV141" s="65">
        <v>45623</v>
      </c>
      <c r="AW141" s="65" t="s">
        <v>620</v>
      </c>
      <c r="AX141" s="65"/>
      <c r="AY141" s="65"/>
      <c r="AZ141" s="65"/>
      <c r="BA141" s="65"/>
      <c r="BB141" s="65">
        <v>45553</v>
      </c>
      <c r="BC141" s="65" t="s">
        <v>618</v>
      </c>
      <c r="BD141" s="65"/>
      <c r="BE141" s="65">
        <v>45505</v>
      </c>
      <c r="BF141" s="65" t="s">
        <v>615</v>
      </c>
      <c r="BG141" s="65"/>
      <c r="BH141" s="65"/>
      <c r="BI141" s="65"/>
      <c r="BJ141" s="65"/>
      <c r="BK141" s="65"/>
      <c r="BL141" s="65"/>
      <c r="BM141" s="65"/>
      <c r="BN141" s="65">
        <v>45416</v>
      </c>
      <c r="BO141" s="65" t="s">
        <v>629</v>
      </c>
      <c r="BP141" s="65"/>
      <c r="BQ141" s="65"/>
      <c r="BR141" s="65"/>
      <c r="BS141" s="65"/>
      <c r="BT141" s="65"/>
      <c r="BU141" s="65"/>
      <c r="BV141" s="65"/>
      <c r="BW141" s="65">
        <v>45335</v>
      </c>
      <c r="BX141" s="65" t="s">
        <v>629</v>
      </c>
      <c r="BY141" s="65"/>
      <c r="BZ141" s="65"/>
      <c r="CA141" s="65"/>
      <c r="CB141" s="65"/>
    </row>
    <row r="142" spans="1:80" s="64" customFormat="1" ht="22" customHeight="1" x14ac:dyDescent="0.2">
      <c r="A142" s="53" t="s">
        <v>37</v>
      </c>
      <c r="B142" s="63">
        <f ca="1">TODAY()</f>
        <v>45935</v>
      </c>
      <c r="C142" s="69" t="s">
        <v>471</v>
      </c>
      <c r="D142" s="68" t="s">
        <v>266</v>
      </c>
      <c r="E142" s="64" t="s">
        <v>21</v>
      </c>
      <c r="F142" s="2" t="s">
        <v>112</v>
      </c>
      <c r="G142" s="65">
        <v>45735</v>
      </c>
      <c r="H142" s="65">
        <v>46099</v>
      </c>
      <c r="I142" s="66">
        <f ca="1">(Table26[[#This Row],[Ref Date]]-Table26[[#This Row],[Service Start Date ]])/60</f>
        <v>3.3333333333333335</v>
      </c>
      <c r="J142" s="66">
        <f>COUNTIF(Table26[[#This Row],[2025 October
Actual]:[2024 January 
Done by 2]],"&gt;=" &amp;Table26[[#This Row],[Service Start Date ]])</f>
        <v>2</v>
      </c>
      <c r="K142" s="66">
        <f ca="1">Table26[[#This Row],[Actual Services
to be done]]-Table26[[#This Row],[Completed Services]]</f>
        <v>1.3333333333333335</v>
      </c>
      <c r="L142" s="64" t="s">
        <v>118</v>
      </c>
      <c r="M142" s="67">
        <f ca="1">B142-R142</f>
        <v>13</v>
      </c>
      <c r="N142" s="65">
        <f ca="1">((B142+(-M142+60-10)))</f>
        <v>45972</v>
      </c>
      <c r="O142" s="65"/>
      <c r="P142" s="65"/>
      <c r="Q142" s="65"/>
      <c r="R142" s="65">
        <v>45922</v>
      </c>
      <c r="S142" s="65" t="s">
        <v>620</v>
      </c>
      <c r="T142" s="65"/>
      <c r="U142" s="65"/>
      <c r="V142" s="65"/>
      <c r="W142" s="65"/>
      <c r="X142" s="65"/>
      <c r="Y142" s="65"/>
      <c r="Z142" s="65"/>
      <c r="AA142" s="65">
        <v>45814</v>
      </c>
      <c r="AB142" s="65" t="s">
        <v>615</v>
      </c>
      <c r="AC142" s="65"/>
      <c r="AD142" s="65"/>
      <c r="AE142" s="65"/>
      <c r="AF142" s="65"/>
      <c r="AG142" s="65"/>
      <c r="AH142" s="65"/>
      <c r="AI142" s="65"/>
      <c r="AJ142" s="65">
        <v>45726</v>
      </c>
      <c r="AK142" s="65" t="s">
        <v>622</v>
      </c>
      <c r="AL142" s="65"/>
      <c r="AM142" s="65"/>
      <c r="AN142" s="65"/>
      <c r="AO142" s="65"/>
      <c r="AP142" s="65">
        <v>45681</v>
      </c>
      <c r="AQ142" s="65" t="s">
        <v>620</v>
      </c>
      <c r="AR142" s="65"/>
      <c r="AS142" s="65">
        <v>45635</v>
      </c>
      <c r="AT142" s="65" t="s">
        <v>620</v>
      </c>
      <c r="AU142" s="65"/>
      <c r="AV142" s="65"/>
      <c r="AW142" s="65"/>
      <c r="AX142" s="65"/>
      <c r="AY142" s="65">
        <v>45579</v>
      </c>
      <c r="AZ142" s="65" t="s">
        <v>615</v>
      </c>
      <c r="BA142" s="65"/>
      <c r="BB142" s="65"/>
      <c r="BC142" s="65"/>
      <c r="BD142" s="65"/>
      <c r="BE142" s="65">
        <v>45531</v>
      </c>
      <c r="BF142" s="65" t="s">
        <v>618</v>
      </c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>
        <v>45392</v>
      </c>
      <c r="BR142" s="65" t="s">
        <v>629</v>
      </c>
      <c r="BS142" s="65"/>
      <c r="BT142" s="65"/>
      <c r="BU142" s="65"/>
      <c r="BV142" s="65"/>
      <c r="BW142" s="65">
        <v>45323</v>
      </c>
      <c r="BX142" s="65" t="s">
        <v>629</v>
      </c>
      <c r="BY142" s="65"/>
      <c r="BZ142" s="65"/>
      <c r="CA142" s="65"/>
      <c r="CB142" s="65"/>
    </row>
    <row r="143" spans="1:80" s="64" customFormat="1" ht="22" customHeight="1" x14ac:dyDescent="0.2">
      <c r="A143" s="53" t="s">
        <v>37</v>
      </c>
      <c r="B143" s="63">
        <f ca="1">TODAY()</f>
        <v>45935</v>
      </c>
      <c r="C143" s="69" t="s">
        <v>532</v>
      </c>
      <c r="D143" s="68" t="s">
        <v>226</v>
      </c>
      <c r="E143" s="64" t="s">
        <v>135</v>
      </c>
      <c r="F143" s="2" t="s">
        <v>111</v>
      </c>
      <c r="G143" s="65">
        <v>45779</v>
      </c>
      <c r="H143" s="65">
        <v>46143</v>
      </c>
      <c r="I143" s="66">
        <f ca="1">(Table26[[#This Row],[Ref Date]]-Table26[[#This Row],[Service Start Date ]])/35</f>
        <v>4.4571428571428573</v>
      </c>
      <c r="J143" s="66">
        <f>COUNTIF(Table26[[#This Row],[2025 October
Actual]:[2024 January 
Done by 2]],"&gt;=" &amp;Table26[[#This Row],[Service Start Date ]])</f>
        <v>2</v>
      </c>
      <c r="K143" s="66">
        <f ca="1">Table26[[#This Row],[Actual Services
to be done]]-Table26[[#This Row],[Completed Services]]</f>
        <v>2.4571428571428573</v>
      </c>
      <c r="L143" s="64" t="s">
        <v>119</v>
      </c>
      <c r="M143" s="67">
        <f ca="1">B143-R143</f>
        <v>27</v>
      </c>
      <c r="N143" s="65">
        <f ca="1">((B143+(-M143+35-10)))</f>
        <v>45933</v>
      </c>
      <c r="O143" s="65"/>
      <c r="P143" s="65"/>
      <c r="Q143" s="65"/>
      <c r="R143" s="65">
        <v>45908</v>
      </c>
      <c r="S143" s="65" t="s">
        <v>621</v>
      </c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>
        <v>45808</v>
      </c>
      <c r="AE143" s="65" t="s">
        <v>615</v>
      </c>
      <c r="AF143" s="65"/>
      <c r="AG143" s="65">
        <v>45770</v>
      </c>
      <c r="AH143" s="65" t="s">
        <v>622</v>
      </c>
      <c r="AI143" s="65"/>
      <c r="AJ143" s="65">
        <v>45728</v>
      </c>
      <c r="AK143" s="65" t="s">
        <v>615</v>
      </c>
      <c r="AL143" s="65"/>
      <c r="AM143" s="65">
        <v>45705</v>
      </c>
      <c r="AN143" s="65" t="s">
        <v>615</v>
      </c>
      <c r="AO143" s="65"/>
      <c r="AP143" s="65">
        <v>45675</v>
      </c>
      <c r="AQ143" s="65" t="s">
        <v>615</v>
      </c>
      <c r="AR143" s="65"/>
      <c r="AS143" s="65">
        <v>45631</v>
      </c>
      <c r="AT143" s="65" t="s">
        <v>622</v>
      </c>
      <c r="AU143" s="65"/>
      <c r="AV143" s="65">
        <v>45611</v>
      </c>
      <c r="AW143" s="65" t="s">
        <v>618</v>
      </c>
      <c r="AX143" s="65"/>
      <c r="AY143" s="65">
        <v>45574</v>
      </c>
      <c r="AZ143" s="95" t="s">
        <v>622</v>
      </c>
      <c r="BA143" s="65"/>
      <c r="BB143" s="65">
        <v>45546</v>
      </c>
      <c r="BC143" s="65" t="s">
        <v>622</v>
      </c>
      <c r="BD143" s="65"/>
      <c r="BE143" s="65">
        <v>45505</v>
      </c>
      <c r="BF143" s="65" t="s">
        <v>621</v>
      </c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</row>
    <row r="144" spans="1:80" s="64" customFormat="1" ht="22" customHeight="1" x14ac:dyDescent="0.2">
      <c r="A144" s="53" t="s">
        <v>37</v>
      </c>
      <c r="B144" s="63">
        <f ca="1">TODAY()</f>
        <v>45935</v>
      </c>
      <c r="C144" s="69" t="s">
        <v>495</v>
      </c>
      <c r="D144" s="68" t="s">
        <v>375</v>
      </c>
      <c r="E144" s="64" t="s">
        <v>13</v>
      </c>
      <c r="F144" s="2" t="s">
        <v>111</v>
      </c>
      <c r="G144" s="65">
        <v>45581</v>
      </c>
      <c r="H144" s="65">
        <v>45945</v>
      </c>
      <c r="I144" s="66">
        <f ca="1">(Table26[[#This Row],[Ref Date]]-Table26[[#This Row],[Service Start Date ]])/35</f>
        <v>10.114285714285714</v>
      </c>
      <c r="J144" s="66">
        <f>COUNTIF(Table26[[#This Row],[2025 October
Actual]:[2024 January 
Done by 2]],"&gt;=" &amp;Table26[[#This Row],[Service Start Date ]])</f>
        <v>10</v>
      </c>
      <c r="K144" s="66">
        <f ca="1">Table26[[#This Row],[Actual Services
to be done]]-Table26[[#This Row],[Completed Services]]</f>
        <v>0.11428571428571388</v>
      </c>
      <c r="L144" s="64" t="s">
        <v>119</v>
      </c>
      <c r="M144" s="67">
        <f ca="1">B144-R144</f>
        <v>15</v>
      </c>
      <c r="N144" s="65">
        <f ca="1">((B144+(-M144+35)))</f>
        <v>45955</v>
      </c>
      <c r="O144" s="65"/>
      <c r="P144" s="65"/>
      <c r="Q144" s="65"/>
      <c r="R144" s="65">
        <v>45920</v>
      </c>
      <c r="S144" s="65" t="s">
        <v>615</v>
      </c>
      <c r="T144" s="65"/>
      <c r="U144" s="65"/>
      <c r="V144" s="65"/>
      <c r="W144" s="65"/>
      <c r="X144" s="65">
        <v>45849</v>
      </c>
      <c r="Y144" s="65" t="s">
        <v>620</v>
      </c>
      <c r="Z144" s="65"/>
      <c r="AA144" s="65">
        <v>45839</v>
      </c>
      <c r="AB144" s="65" t="s">
        <v>618</v>
      </c>
      <c r="AC144" s="65"/>
      <c r="AD144" s="65">
        <v>45808</v>
      </c>
      <c r="AE144" s="65" t="s">
        <v>615</v>
      </c>
      <c r="AF144" s="65"/>
      <c r="AG144" s="65">
        <v>45768</v>
      </c>
      <c r="AH144" s="65" t="s">
        <v>622</v>
      </c>
      <c r="AI144" s="65"/>
      <c r="AJ144" s="65">
        <v>45741</v>
      </c>
      <c r="AK144" s="65" t="s">
        <v>622</v>
      </c>
      <c r="AL144" s="65"/>
      <c r="AM144" s="65">
        <v>45714</v>
      </c>
      <c r="AN144" s="65" t="s">
        <v>615</v>
      </c>
      <c r="AO144" s="65"/>
      <c r="AP144" s="65">
        <v>45688</v>
      </c>
      <c r="AQ144" s="65" t="s">
        <v>615</v>
      </c>
      <c r="AR144" s="65"/>
      <c r="AS144" s="65">
        <v>45632</v>
      </c>
      <c r="AT144" s="65" t="s">
        <v>622</v>
      </c>
      <c r="AU144" s="65"/>
      <c r="AV144" s="65">
        <v>45605</v>
      </c>
      <c r="AW144" s="65" t="s">
        <v>622</v>
      </c>
      <c r="AX144" s="65"/>
      <c r="AY144" s="65">
        <v>45573</v>
      </c>
      <c r="AZ144" s="95" t="s">
        <v>622</v>
      </c>
      <c r="BA144" s="65"/>
      <c r="BB144" s="65">
        <v>45545</v>
      </c>
      <c r="BC144" s="65" t="s">
        <v>622</v>
      </c>
      <c r="BD144" s="65"/>
      <c r="BE144" s="65">
        <v>45512</v>
      </c>
      <c r="BF144" s="65" t="s">
        <v>622</v>
      </c>
      <c r="BG144" s="65"/>
      <c r="BH144" s="65"/>
      <c r="BI144" s="65"/>
      <c r="BJ144" s="65"/>
      <c r="BK144" s="65"/>
      <c r="BL144" s="65"/>
      <c r="BM144" s="65"/>
      <c r="BN144" s="65">
        <v>45435</v>
      </c>
      <c r="BO144" s="65" t="s">
        <v>621</v>
      </c>
      <c r="BP144" s="65"/>
      <c r="BQ144" s="65"/>
      <c r="BR144" s="65"/>
      <c r="BS144" s="65"/>
      <c r="BT144" s="65">
        <v>45364</v>
      </c>
      <c r="BU144" s="65" t="s">
        <v>630</v>
      </c>
      <c r="BV144" s="65"/>
      <c r="BW144" s="65">
        <v>45329</v>
      </c>
      <c r="BX144" s="65" t="s">
        <v>629</v>
      </c>
      <c r="BY144" s="65"/>
      <c r="BZ144" s="65"/>
      <c r="CA144" s="65"/>
      <c r="CB144" s="65"/>
    </row>
    <row r="145" spans="1:80" s="64" customFormat="1" ht="22" customHeight="1" x14ac:dyDescent="0.2">
      <c r="A145" s="53" t="s">
        <v>37</v>
      </c>
      <c r="B145" s="63">
        <f ca="1">TODAY()</f>
        <v>45935</v>
      </c>
      <c r="C145" s="69" t="s">
        <v>504</v>
      </c>
      <c r="D145" s="68" t="s">
        <v>344</v>
      </c>
      <c r="E145" s="126" t="s">
        <v>20</v>
      </c>
      <c r="F145" s="2" t="s">
        <v>111</v>
      </c>
      <c r="G145" s="65">
        <v>45659</v>
      </c>
      <c r="H145" s="65">
        <v>46023</v>
      </c>
      <c r="I145" s="66">
        <f ca="1">(Table26[[#This Row],[Ref Date]]-Table26[[#This Row],[Service Start Date ]])/60</f>
        <v>4.5999999999999996</v>
      </c>
      <c r="J145" s="66">
        <f>COUNTIF(Table26[[#This Row],[2025 October
Actual]:[2024 January 
Done by 2]],"&gt;=" &amp;Table26[[#This Row],[Service Start Date ]])</f>
        <v>3</v>
      </c>
      <c r="K145" s="66">
        <f ca="1">Table26[[#This Row],[Actual Services
to be done]]-Table26[[#This Row],[Completed Services]]</f>
        <v>1.5999999999999996</v>
      </c>
      <c r="L145" s="64" t="s">
        <v>118</v>
      </c>
      <c r="M145" s="67">
        <f ca="1">B145-U145</f>
        <v>59</v>
      </c>
      <c r="N145" s="65">
        <f ca="1">((B145+(-M145+60-10)))</f>
        <v>45926</v>
      </c>
      <c r="O145" s="65"/>
      <c r="P145" s="65"/>
      <c r="Q145" s="65"/>
      <c r="R145" s="65"/>
      <c r="S145" s="65"/>
      <c r="T145" s="65"/>
      <c r="U145" s="65">
        <v>45876</v>
      </c>
      <c r="V145" s="65" t="s">
        <v>617</v>
      </c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>
        <v>45765</v>
      </c>
      <c r="AH145" s="65" t="s">
        <v>622</v>
      </c>
      <c r="AI145" s="65"/>
      <c r="AJ145" s="65"/>
      <c r="AK145" s="65"/>
      <c r="AL145" s="65"/>
      <c r="AM145" s="65">
        <v>45706</v>
      </c>
      <c r="AN145" s="65" t="s">
        <v>615</v>
      </c>
      <c r="AO145" s="65"/>
      <c r="AP145" s="65"/>
      <c r="AQ145" s="65"/>
      <c r="AR145" s="65"/>
      <c r="AS145" s="65">
        <v>45657</v>
      </c>
      <c r="AT145" s="65" t="s">
        <v>622</v>
      </c>
      <c r="AU145" s="65"/>
      <c r="AV145" s="65"/>
      <c r="AW145" s="65"/>
      <c r="AX145" s="65"/>
      <c r="AY145" s="65">
        <v>45595</v>
      </c>
      <c r="AZ145" s="65" t="s">
        <v>618</v>
      </c>
      <c r="BA145" s="65"/>
      <c r="BB145" s="65">
        <v>45554</v>
      </c>
      <c r="BC145" s="65" t="s">
        <v>622</v>
      </c>
      <c r="BD145" s="65"/>
      <c r="BE145" s="65">
        <v>45513</v>
      </c>
      <c r="BF145" s="65" t="s">
        <v>622</v>
      </c>
      <c r="BG145" s="65"/>
      <c r="BH145" s="65"/>
      <c r="BI145" s="65"/>
      <c r="BJ145" s="65"/>
      <c r="BK145" s="65"/>
      <c r="BL145" s="65"/>
      <c r="BM145" s="65"/>
      <c r="BN145" s="65">
        <v>45430</v>
      </c>
      <c r="BO145" s="65" t="s">
        <v>626</v>
      </c>
      <c r="BP145" s="65"/>
      <c r="BQ145" s="65"/>
      <c r="BR145" s="65"/>
      <c r="BS145" s="65"/>
      <c r="BT145" s="65">
        <v>45360</v>
      </c>
      <c r="BU145" s="65" t="s">
        <v>630</v>
      </c>
      <c r="BV145" s="65"/>
      <c r="BW145" s="65"/>
      <c r="BX145" s="65"/>
      <c r="BY145" s="65"/>
      <c r="BZ145" s="65">
        <v>45295</v>
      </c>
      <c r="CA145" s="65" t="s">
        <v>630</v>
      </c>
      <c r="CB145" s="65"/>
    </row>
    <row r="146" spans="1:80" s="64" customFormat="1" ht="22" customHeight="1" x14ac:dyDescent="0.2">
      <c r="A146" s="53" t="s">
        <v>37</v>
      </c>
      <c r="B146" s="63">
        <f ca="1">TODAY()</f>
        <v>45935</v>
      </c>
      <c r="C146" s="69" t="s">
        <v>521</v>
      </c>
      <c r="D146" s="68" t="s">
        <v>357</v>
      </c>
      <c r="E146" s="64" t="s">
        <v>2</v>
      </c>
      <c r="F146" s="2" t="s">
        <v>113</v>
      </c>
      <c r="G146" s="65">
        <v>45667</v>
      </c>
      <c r="H146" s="65">
        <v>46031</v>
      </c>
      <c r="I146" s="66">
        <f ca="1">(Table26[[#This Row],[Ref Date]]-Table26[[#This Row],[Service Start Date ]])/35</f>
        <v>7.6571428571428575</v>
      </c>
      <c r="J146" s="66">
        <f>COUNTIF(Table26[[#This Row],[2025 October
Actual]:[2024 January 
Done by 2]],"&gt;=" &amp;Table26[[#This Row],[Service Start Date ]])</f>
        <v>6</v>
      </c>
      <c r="K146" s="66">
        <f ca="1">Table26[[#This Row],[Actual Services
to be done]]-Table26[[#This Row],[Completed Services]]</f>
        <v>1.6571428571428575</v>
      </c>
      <c r="L146" s="64" t="s">
        <v>119</v>
      </c>
      <c r="M146" s="67">
        <f ca="1">B146-R146</f>
        <v>10</v>
      </c>
      <c r="N146" s="65">
        <f ca="1">((B146+(-M146+35-10)))</f>
        <v>45950</v>
      </c>
      <c r="O146" s="65"/>
      <c r="P146" s="65"/>
      <c r="Q146" s="65"/>
      <c r="R146" s="65">
        <v>45925</v>
      </c>
      <c r="S146" s="65" t="s">
        <v>617</v>
      </c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>
        <v>45797</v>
      </c>
      <c r="AE146" s="65" t="s">
        <v>618</v>
      </c>
      <c r="AF146" s="65"/>
      <c r="AG146" s="65">
        <v>45756</v>
      </c>
      <c r="AH146" s="65" t="s">
        <v>622</v>
      </c>
      <c r="AI146" s="65"/>
      <c r="AJ146" s="65">
        <v>45726</v>
      </c>
      <c r="AK146" s="65" t="s">
        <v>618</v>
      </c>
      <c r="AL146" s="65"/>
      <c r="AM146" s="65">
        <v>45707</v>
      </c>
      <c r="AN146" s="65" t="s">
        <v>622</v>
      </c>
      <c r="AO146" s="65"/>
      <c r="AP146" s="65">
        <v>45684</v>
      </c>
      <c r="AQ146" s="65" t="s">
        <v>622</v>
      </c>
      <c r="AR146" s="65"/>
      <c r="AS146" s="65">
        <v>45656</v>
      </c>
      <c r="AT146" s="65" t="s">
        <v>622</v>
      </c>
      <c r="AU146" s="65"/>
      <c r="AV146" s="65">
        <v>45617</v>
      </c>
      <c r="AW146" s="65" t="s">
        <v>622</v>
      </c>
      <c r="AX146" s="65"/>
      <c r="AY146" s="65">
        <v>45587</v>
      </c>
      <c r="AZ146" s="65" t="s">
        <v>618</v>
      </c>
      <c r="BA146" s="65"/>
      <c r="BB146" s="65">
        <v>45562</v>
      </c>
      <c r="BC146" s="65" t="s">
        <v>622</v>
      </c>
      <c r="BD146" s="65"/>
      <c r="BE146" s="65">
        <v>45532</v>
      </c>
      <c r="BF146" s="65" t="s">
        <v>618</v>
      </c>
      <c r="BG146" s="65"/>
      <c r="BH146" s="65"/>
      <c r="BI146" s="65"/>
      <c r="BJ146" s="65"/>
      <c r="BK146" s="65"/>
      <c r="BL146" s="65"/>
      <c r="BM146" s="65"/>
      <c r="BN146" s="65">
        <v>45432</v>
      </c>
      <c r="BO146" s="65" t="s">
        <v>626</v>
      </c>
      <c r="BP146" s="65"/>
      <c r="BQ146" s="65"/>
      <c r="BR146" s="65"/>
      <c r="BS146" s="65"/>
      <c r="BT146" s="65">
        <v>45378</v>
      </c>
      <c r="BU146" s="65" t="s">
        <v>629</v>
      </c>
      <c r="BV146" s="65"/>
      <c r="BW146" s="65"/>
      <c r="BX146" s="65"/>
      <c r="BY146" s="65"/>
      <c r="BZ146" s="65"/>
      <c r="CA146" s="65"/>
      <c r="CB146" s="65"/>
    </row>
    <row r="147" spans="1:80" s="93" customFormat="1" ht="22" customHeight="1" x14ac:dyDescent="0.2">
      <c r="A147" s="53" t="s">
        <v>37</v>
      </c>
      <c r="B147" s="63">
        <f ca="1">TODAY()</f>
        <v>45935</v>
      </c>
      <c r="C147" s="69" t="s">
        <v>514</v>
      </c>
      <c r="D147" s="68" t="s">
        <v>371</v>
      </c>
      <c r="E147" s="64" t="s">
        <v>2</v>
      </c>
      <c r="F147" s="2" t="s">
        <v>113</v>
      </c>
      <c r="G147" s="65">
        <v>45597</v>
      </c>
      <c r="H147" s="65">
        <v>45961</v>
      </c>
      <c r="I147" s="66">
        <f ca="1">(Table26[[#This Row],[Ref Date]]-Table26[[#This Row],[Service Start Date ]])/35</f>
        <v>9.6571428571428566</v>
      </c>
      <c r="J147" s="66">
        <f>COUNTIF(Table26[[#This Row],[2025 October
Actual]:[2024 January 
Done by 2]],"&gt;=" &amp;Table26[[#This Row],[Service Start Date ]])</f>
        <v>9</v>
      </c>
      <c r="K147" s="66">
        <f ca="1">Table26[[#This Row],[Actual Services
to be done]]-Table26[[#This Row],[Completed Services]]</f>
        <v>0.65714285714285658</v>
      </c>
      <c r="L147" s="64" t="s">
        <v>119</v>
      </c>
      <c r="M147" s="67">
        <f ca="1">B147-R147</f>
        <v>9</v>
      </c>
      <c r="N147" s="65">
        <f ca="1">((B147+(-M147+35-10)))</f>
        <v>45951</v>
      </c>
      <c r="O147" s="65"/>
      <c r="P147" s="65"/>
      <c r="Q147" s="65"/>
      <c r="R147" s="65">
        <v>45926</v>
      </c>
      <c r="S147" s="65" t="s">
        <v>617</v>
      </c>
      <c r="T147" s="65"/>
      <c r="U147" s="65"/>
      <c r="V147" s="65"/>
      <c r="W147" s="65"/>
      <c r="X147" s="65">
        <v>45853</v>
      </c>
      <c r="Y147" s="65" t="s">
        <v>621</v>
      </c>
      <c r="Z147" s="65"/>
      <c r="AA147" s="65"/>
      <c r="AB147" s="65"/>
      <c r="AC147" s="65"/>
      <c r="AD147" s="65">
        <v>45786</v>
      </c>
      <c r="AE147" s="65" t="s">
        <v>622</v>
      </c>
      <c r="AF147" s="65"/>
      <c r="AG147" s="65">
        <v>45751</v>
      </c>
      <c r="AH147" s="65" t="s">
        <v>622</v>
      </c>
      <c r="AI147" s="65"/>
      <c r="AJ147" s="65">
        <v>45720</v>
      </c>
      <c r="AK147" s="65" t="s">
        <v>622</v>
      </c>
      <c r="AL147" s="65"/>
      <c r="AM147" s="65">
        <v>45693</v>
      </c>
      <c r="AN147" s="65" t="s">
        <v>622</v>
      </c>
      <c r="AO147" s="65"/>
      <c r="AP147" s="65">
        <v>45665</v>
      </c>
      <c r="AQ147" s="65" t="s">
        <v>622</v>
      </c>
      <c r="AR147" s="65"/>
      <c r="AS147" s="65">
        <v>45631</v>
      </c>
      <c r="AT147" s="65" t="s">
        <v>622</v>
      </c>
      <c r="AU147" s="65"/>
      <c r="AV147" s="65">
        <v>45602</v>
      </c>
      <c r="AW147" s="65" t="s">
        <v>615</v>
      </c>
      <c r="AX147" s="65"/>
      <c r="AY147" s="65"/>
      <c r="AZ147" s="65"/>
      <c r="BA147" s="65"/>
      <c r="BB147" s="65">
        <v>45549</v>
      </c>
      <c r="BC147" s="65" t="s">
        <v>615</v>
      </c>
      <c r="BD147" s="65"/>
      <c r="BE147" s="65">
        <v>45509</v>
      </c>
      <c r="BF147" s="65" t="s">
        <v>622</v>
      </c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>
        <v>45405</v>
      </c>
      <c r="BR147" s="65" t="s">
        <v>629</v>
      </c>
      <c r="BS147" s="65"/>
      <c r="BT147" s="65">
        <v>45358</v>
      </c>
      <c r="BU147" s="65" t="s">
        <v>630</v>
      </c>
      <c r="BV147" s="65"/>
      <c r="BW147" s="65"/>
      <c r="BX147" s="65"/>
      <c r="BY147" s="65"/>
      <c r="BZ147" s="65">
        <v>45321</v>
      </c>
      <c r="CA147" s="65" t="s">
        <v>629</v>
      </c>
      <c r="CB147" s="65"/>
    </row>
    <row r="148" spans="1:80" s="64" customFormat="1" ht="22" customHeight="1" x14ac:dyDescent="0.2">
      <c r="A148" s="53" t="s">
        <v>37</v>
      </c>
      <c r="B148" s="63">
        <f ca="1">TODAY()</f>
        <v>45935</v>
      </c>
      <c r="C148" s="69" t="s">
        <v>533</v>
      </c>
      <c r="D148" s="68" t="s">
        <v>354</v>
      </c>
      <c r="E148" s="64" t="s">
        <v>5</v>
      </c>
      <c r="F148" s="2" t="s">
        <v>113</v>
      </c>
      <c r="G148" s="65">
        <v>45841</v>
      </c>
      <c r="H148" s="65">
        <v>46205</v>
      </c>
      <c r="I148" s="66">
        <f ca="1">(Table26[[#This Row],[Ref Date]]-Table26[[#This Row],[Service Start Date ]])/35</f>
        <v>2.6857142857142855</v>
      </c>
      <c r="J148" s="66">
        <f>COUNTIF(Table26[[#This Row],[2025 October
Actual]:[2024 January 
Done by 2]],"&gt;=" &amp;Table26[[#This Row],[Service Start Date ]])</f>
        <v>1</v>
      </c>
      <c r="K148" s="66">
        <f ca="1">Table26[[#This Row],[Actual Services
to be done]]-Table26[[#This Row],[Completed Services]]</f>
        <v>1.6857142857142855</v>
      </c>
      <c r="L148" s="64" t="s">
        <v>119</v>
      </c>
      <c r="M148" s="67">
        <f ca="1">B148-U148</f>
        <v>58</v>
      </c>
      <c r="N148" s="65">
        <f ca="1">((B148+(-M148+35-10)))</f>
        <v>45902</v>
      </c>
      <c r="O148" s="65"/>
      <c r="P148" s="65"/>
      <c r="Q148" s="65"/>
      <c r="R148" s="65"/>
      <c r="S148" s="65"/>
      <c r="T148" s="65"/>
      <c r="U148" s="65">
        <v>45877</v>
      </c>
      <c r="V148" s="65" t="s">
        <v>618</v>
      </c>
      <c r="W148" s="65"/>
      <c r="X148" s="65"/>
      <c r="Y148" s="65"/>
      <c r="Z148" s="65"/>
      <c r="AA148" s="65"/>
      <c r="AB148" s="65"/>
      <c r="AC148" s="65"/>
      <c r="AD148" s="65">
        <v>45778</v>
      </c>
      <c r="AE148" s="65" t="s">
        <v>622</v>
      </c>
      <c r="AF148" s="65"/>
      <c r="AG148" s="65">
        <v>45748</v>
      </c>
      <c r="AH148" s="65" t="s">
        <v>622</v>
      </c>
      <c r="AI148" s="65"/>
      <c r="AJ148" s="65">
        <v>45719</v>
      </c>
      <c r="AK148" s="65" t="s">
        <v>622</v>
      </c>
      <c r="AL148" s="65"/>
      <c r="AM148" s="65">
        <v>45691</v>
      </c>
      <c r="AN148" s="65" t="s">
        <v>622</v>
      </c>
      <c r="AO148" s="65"/>
      <c r="AP148" s="65">
        <v>45665</v>
      </c>
      <c r="AQ148" s="65" t="s">
        <v>622</v>
      </c>
      <c r="AR148" s="65"/>
      <c r="AS148" s="65">
        <v>45631</v>
      </c>
      <c r="AT148" s="65" t="s">
        <v>622</v>
      </c>
      <c r="AU148" s="65"/>
      <c r="AV148" s="65">
        <v>45604</v>
      </c>
      <c r="AW148" s="65" t="s">
        <v>622</v>
      </c>
      <c r="AX148" s="65"/>
      <c r="AY148" s="65">
        <v>45574</v>
      </c>
      <c r="AZ148" s="95" t="s">
        <v>622</v>
      </c>
      <c r="BA148" s="65"/>
      <c r="BB148" s="65">
        <v>45551</v>
      </c>
      <c r="BC148" s="65" t="s">
        <v>622</v>
      </c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</row>
    <row r="149" spans="1:80" s="64" customFormat="1" ht="22" customHeight="1" x14ac:dyDescent="0.2">
      <c r="A149" s="53" t="s">
        <v>37</v>
      </c>
      <c r="B149" s="63">
        <f ca="1">TODAY()</f>
        <v>45935</v>
      </c>
      <c r="C149" s="69" t="s">
        <v>557</v>
      </c>
      <c r="D149" s="68" t="s">
        <v>343</v>
      </c>
      <c r="E149" s="64" t="s">
        <v>48</v>
      </c>
      <c r="F149" s="2" t="s">
        <v>112</v>
      </c>
      <c r="G149" s="65">
        <v>45839</v>
      </c>
      <c r="H149" s="65">
        <v>46203</v>
      </c>
      <c r="I149" s="66">
        <f ca="1">(Table26[[#This Row],[Ref Date]]-Table26[[#This Row],[Service Start Date ]])/35</f>
        <v>2.7428571428571429</v>
      </c>
      <c r="J149" s="66">
        <f>COUNTIF(Table26[[#This Row],[2025 October
Actual]:[2024 January 
Done by 2]],"&gt;=" &amp;Table26[[#This Row],[Service Start Date ]])</f>
        <v>1</v>
      </c>
      <c r="K149" s="66">
        <f ca="1">Table26[[#This Row],[Actual Services
to be done]]-Table26[[#This Row],[Completed Services]]</f>
        <v>1.7428571428571429</v>
      </c>
      <c r="L149" s="64" t="s">
        <v>119</v>
      </c>
      <c r="M149" s="67">
        <f ca="1">B149-X149</f>
        <v>83</v>
      </c>
      <c r="N149" s="65">
        <f ca="1">((B149+(-M149+35-10)))</f>
        <v>45877</v>
      </c>
      <c r="O149" s="65"/>
      <c r="P149" s="65"/>
      <c r="Q149" s="65"/>
      <c r="R149" s="65"/>
      <c r="S149" s="65"/>
      <c r="T149" s="65"/>
      <c r="U149" s="65"/>
      <c r="V149" s="65"/>
      <c r="W149" s="65"/>
      <c r="X149" s="65">
        <v>45852</v>
      </c>
      <c r="Y149" s="65" t="s">
        <v>618</v>
      </c>
      <c r="Z149" s="65"/>
      <c r="AA149" s="65"/>
      <c r="AB149" s="65"/>
      <c r="AC149" s="65"/>
      <c r="AD149" s="65">
        <v>45787</v>
      </c>
      <c r="AE149" s="65" t="s">
        <v>615</v>
      </c>
      <c r="AF149" s="65"/>
      <c r="AG149" s="65">
        <v>45769</v>
      </c>
      <c r="AH149" s="65" t="s">
        <v>615</v>
      </c>
      <c r="AI149" s="65"/>
      <c r="AJ149" s="65">
        <v>45720</v>
      </c>
      <c r="AK149" s="65" t="s">
        <v>615</v>
      </c>
      <c r="AL149" s="65"/>
      <c r="AM149" s="65">
        <v>45694</v>
      </c>
      <c r="AN149" s="65" t="s">
        <v>615</v>
      </c>
      <c r="AO149" s="65"/>
      <c r="AP149" s="65">
        <v>45667</v>
      </c>
      <c r="AQ149" s="65" t="s">
        <v>615</v>
      </c>
      <c r="AR149" s="65"/>
      <c r="AS149" s="65"/>
      <c r="AT149" s="65"/>
      <c r="AU149" s="65"/>
      <c r="AV149" s="65">
        <v>45624</v>
      </c>
      <c r="AW149" s="65" t="s">
        <v>615</v>
      </c>
      <c r="AX149" s="65"/>
      <c r="AY149" s="65">
        <v>45588</v>
      </c>
      <c r="AZ149" s="65" t="s">
        <v>615</v>
      </c>
      <c r="BA149" s="65"/>
      <c r="BB149" s="65">
        <v>45563</v>
      </c>
      <c r="BC149" s="65" t="s">
        <v>618</v>
      </c>
      <c r="BD149" s="65"/>
      <c r="BE149" s="65">
        <v>45514</v>
      </c>
      <c r="BF149" s="65" t="s">
        <v>615</v>
      </c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>
        <v>45391</v>
      </c>
      <c r="BR149" s="65" t="s">
        <v>629</v>
      </c>
      <c r="BS149" s="65"/>
      <c r="BT149" s="65"/>
      <c r="BU149" s="65"/>
      <c r="BV149" s="65"/>
      <c r="BW149" s="65">
        <v>45337</v>
      </c>
      <c r="BX149" s="65" t="s">
        <v>631</v>
      </c>
      <c r="BY149" s="65"/>
      <c r="BZ149" s="65"/>
      <c r="CA149" s="65"/>
      <c r="CB149" s="65"/>
    </row>
    <row r="150" spans="1:80" s="64" customFormat="1" ht="22" customHeight="1" x14ac:dyDescent="0.2">
      <c r="A150" s="53" t="s">
        <v>38</v>
      </c>
      <c r="B150" s="63">
        <f ca="1">TODAY()</f>
        <v>45935</v>
      </c>
      <c r="C150" s="69" t="s">
        <v>531</v>
      </c>
      <c r="D150" s="68" t="s">
        <v>403</v>
      </c>
      <c r="E150" s="64" t="s">
        <v>155</v>
      </c>
      <c r="F150" s="2" t="s">
        <v>111</v>
      </c>
      <c r="G150" s="65">
        <v>45474</v>
      </c>
      <c r="H150" s="65">
        <v>45838</v>
      </c>
      <c r="I150" s="66">
        <v>10</v>
      </c>
      <c r="J150" s="66">
        <f>COUNTIF(Table26[[#This Row],[2025 October
Actual]:[2024 January 
Done by 2]],"&gt;=" &amp;Table26[[#This Row],[Service Start Date ]])</f>
        <v>9</v>
      </c>
      <c r="K150" s="66">
        <f>Table26[[#This Row],[Actual Services
to be done]]-Table26[[#This Row],[Completed Services]]</f>
        <v>1</v>
      </c>
      <c r="L150" s="64" t="s">
        <v>119</v>
      </c>
      <c r="M150" s="67">
        <f ca="1">B150-AA150</f>
        <v>111</v>
      </c>
      <c r="N150" s="65">
        <f ca="1">((B150+(-M150+35)))</f>
        <v>45859</v>
      </c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>
        <v>45824</v>
      </c>
      <c r="AB150" s="65" t="s">
        <v>615</v>
      </c>
      <c r="AC150" s="65"/>
      <c r="AD150" s="65"/>
      <c r="AE150" s="65"/>
      <c r="AF150" s="65"/>
      <c r="AG150" s="65">
        <v>45764</v>
      </c>
      <c r="AH150" s="65" t="s">
        <v>615</v>
      </c>
      <c r="AI150" s="65"/>
      <c r="AJ150" s="65">
        <v>45724</v>
      </c>
      <c r="AK150" s="65" t="s">
        <v>615</v>
      </c>
      <c r="AL150" s="65"/>
      <c r="AM150" s="65">
        <v>45701</v>
      </c>
      <c r="AN150" s="65" t="s">
        <v>615</v>
      </c>
      <c r="AO150" s="65"/>
      <c r="AP150" s="65">
        <v>45661</v>
      </c>
      <c r="AQ150" s="65" t="s">
        <v>622</v>
      </c>
      <c r="AR150" s="65"/>
      <c r="AS150" s="65"/>
      <c r="AT150" s="65"/>
      <c r="AU150" s="65"/>
      <c r="AV150" s="65">
        <v>45618</v>
      </c>
      <c r="AW150" s="65" t="s">
        <v>615</v>
      </c>
      <c r="AX150" s="65"/>
      <c r="AY150" s="65">
        <v>45590</v>
      </c>
      <c r="AZ150" s="65" t="s">
        <v>618</v>
      </c>
      <c r="BA150" s="65"/>
      <c r="BB150" s="65">
        <v>45562</v>
      </c>
      <c r="BC150" s="65" t="s">
        <v>622</v>
      </c>
      <c r="BD150" s="65"/>
      <c r="BE150" s="65">
        <v>45535</v>
      </c>
      <c r="BF150" s="65" t="s">
        <v>618</v>
      </c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</row>
    <row r="151" spans="1:80" s="64" customFormat="1" ht="22" customHeight="1" x14ac:dyDescent="0.2">
      <c r="A151" s="53" t="s">
        <v>38</v>
      </c>
      <c r="B151" s="63">
        <f ca="1">TODAY()</f>
        <v>45935</v>
      </c>
      <c r="C151" s="69" t="s">
        <v>593</v>
      </c>
      <c r="D151" s="68" t="s">
        <v>324</v>
      </c>
      <c r="E151" s="126" t="s">
        <v>157</v>
      </c>
      <c r="F151" s="2" t="s">
        <v>112</v>
      </c>
      <c r="G151" s="65">
        <v>45474</v>
      </c>
      <c r="H151" s="65">
        <v>45838</v>
      </c>
      <c r="I151" s="66">
        <v>10</v>
      </c>
      <c r="J151" s="66">
        <f>COUNTIF(Table26[[#This Row],[2025 October
Actual]:[2024 January 
Done by 2]],"&gt;=" &amp;Table26[[#This Row],[Service Start Date ]])</f>
        <v>11</v>
      </c>
      <c r="K151" s="66">
        <f>Table26[[#This Row],[Actual Services
to be done]]-Table26[[#This Row],[Completed Services]]</f>
        <v>-1</v>
      </c>
      <c r="L151" s="64" t="s">
        <v>119</v>
      </c>
      <c r="M151" s="67">
        <f ca="1">B151-O151</f>
        <v>2</v>
      </c>
      <c r="N151" s="65">
        <f ca="1">((B151+(-M151+35)))</f>
        <v>45968</v>
      </c>
      <c r="O151" s="65">
        <v>45933</v>
      </c>
      <c r="P151" s="65" t="s">
        <v>615</v>
      </c>
      <c r="Q151" s="65"/>
      <c r="R151" s="65"/>
      <c r="S151" s="65"/>
      <c r="T151" s="65"/>
      <c r="U151" s="65"/>
      <c r="V151" s="65"/>
      <c r="W151" s="65"/>
      <c r="X151" s="65">
        <v>45857</v>
      </c>
      <c r="Y151" s="65" t="s">
        <v>621</v>
      </c>
      <c r="Z151" s="65"/>
      <c r="AA151" s="65">
        <v>45813</v>
      </c>
      <c r="AB151" s="65" t="s">
        <v>615</v>
      </c>
      <c r="AC151" s="65"/>
      <c r="AD151" s="65"/>
      <c r="AE151" s="65"/>
      <c r="AF151" s="65"/>
      <c r="AG151" s="65">
        <v>45776</v>
      </c>
      <c r="AH151" s="65" t="s">
        <v>622</v>
      </c>
      <c r="AI151" s="65"/>
      <c r="AJ151" s="65">
        <v>45726</v>
      </c>
      <c r="AK151" s="65" t="s">
        <v>615</v>
      </c>
      <c r="AL151" s="65"/>
      <c r="AM151" s="65">
        <v>45703</v>
      </c>
      <c r="AN151" s="65" t="s">
        <v>615</v>
      </c>
      <c r="AO151" s="65"/>
      <c r="AP151" s="65">
        <v>45681</v>
      </c>
      <c r="AQ151" s="65" t="s">
        <v>615</v>
      </c>
      <c r="AR151" s="65"/>
      <c r="AS151" s="65"/>
      <c r="AT151" s="65"/>
      <c r="AU151" s="65"/>
      <c r="AV151" s="65">
        <v>45618</v>
      </c>
      <c r="AW151" s="65" t="s">
        <v>615</v>
      </c>
      <c r="AX151" s="65"/>
      <c r="AY151" s="65">
        <v>45590</v>
      </c>
      <c r="AZ151" s="65" t="s">
        <v>618</v>
      </c>
      <c r="BA151" s="65"/>
      <c r="BB151" s="65">
        <v>45561</v>
      </c>
      <c r="BC151" s="65" t="s">
        <v>615</v>
      </c>
      <c r="BD151" s="65"/>
      <c r="BE151" s="65">
        <v>45525</v>
      </c>
      <c r="BF151" s="65" t="s">
        <v>615</v>
      </c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</row>
    <row r="152" spans="1:80" s="64" customFormat="1" ht="22" customHeight="1" x14ac:dyDescent="0.2">
      <c r="A152" s="53" t="s">
        <v>37</v>
      </c>
      <c r="B152" s="63">
        <f ca="1">TODAY()</f>
        <v>45935</v>
      </c>
      <c r="C152" s="69" t="s">
        <v>458</v>
      </c>
      <c r="D152" s="68" t="s">
        <v>233</v>
      </c>
      <c r="E152" s="64" t="s">
        <v>25</v>
      </c>
      <c r="F152" s="2" t="s">
        <v>111</v>
      </c>
      <c r="G152" s="65">
        <v>45870</v>
      </c>
      <c r="H152" s="65">
        <v>46234</v>
      </c>
      <c r="I152" s="66">
        <f ca="1">(Table26[[#This Row],[Ref Date]]-Table26[[#This Row],[Service Start Date ]])/35</f>
        <v>1.8571428571428572</v>
      </c>
      <c r="J152" s="66">
        <f>COUNTIF(Table26[[#This Row],[2025 October
Actual]:[2024 January 
Done by 2]],"&gt;=" &amp;Table26[[#This Row],[Service Start Date ]])</f>
        <v>1</v>
      </c>
      <c r="K152" s="66">
        <f ca="1">Table26[[#This Row],[Actual Services
to be done]]-Table26[[#This Row],[Completed Services]]</f>
        <v>0.85714285714285721</v>
      </c>
      <c r="L152" s="64" t="s">
        <v>119</v>
      </c>
      <c r="M152" s="67">
        <f ca="1">B152-R152</f>
        <v>9</v>
      </c>
      <c r="N152" s="65">
        <f ca="1">((B152+(-M152+35-10)))</f>
        <v>45951</v>
      </c>
      <c r="O152" s="65"/>
      <c r="P152" s="65"/>
      <c r="Q152" s="65"/>
      <c r="R152" s="65">
        <v>45926</v>
      </c>
      <c r="S152" s="65" t="s">
        <v>615</v>
      </c>
      <c r="T152" s="65"/>
      <c r="U152" s="65"/>
      <c r="V152" s="65"/>
      <c r="W152" s="65"/>
      <c r="X152" s="65"/>
      <c r="Y152" s="65"/>
      <c r="Z152" s="65"/>
      <c r="AA152" s="65">
        <v>45821</v>
      </c>
      <c r="AB152" s="65" t="s">
        <v>615</v>
      </c>
      <c r="AC152" s="65"/>
      <c r="AD152" s="65"/>
      <c r="AE152" s="65"/>
      <c r="AF152" s="65"/>
      <c r="AG152" s="65">
        <v>45768</v>
      </c>
      <c r="AH152" s="65" t="s">
        <v>615</v>
      </c>
      <c r="AI152" s="65"/>
      <c r="AJ152" s="65">
        <v>45722</v>
      </c>
      <c r="AK152" s="65" t="s">
        <v>618</v>
      </c>
      <c r="AL152" s="65"/>
      <c r="AM152" s="65">
        <v>45701</v>
      </c>
      <c r="AN152" s="65" t="s">
        <v>615</v>
      </c>
      <c r="AO152" s="65"/>
      <c r="AP152" s="65">
        <v>45660</v>
      </c>
      <c r="AQ152" s="65" t="s">
        <v>615</v>
      </c>
      <c r="AR152" s="65"/>
      <c r="AS152" s="65"/>
      <c r="AT152" s="65"/>
      <c r="AU152" s="65"/>
      <c r="AV152" s="65">
        <v>45615</v>
      </c>
      <c r="AW152" s="65" t="s">
        <v>618</v>
      </c>
      <c r="AX152" s="65"/>
      <c r="AY152" s="65">
        <v>45579</v>
      </c>
      <c r="AZ152" s="95" t="s">
        <v>622</v>
      </c>
      <c r="BA152" s="65"/>
      <c r="BB152" s="65">
        <v>45554</v>
      </c>
      <c r="BC152" s="65" t="s">
        <v>622</v>
      </c>
      <c r="BD152" s="65"/>
      <c r="BE152" s="65">
        <v>45526</v>
      </c>
      <c r="BF152" s="65" t="s">
        <v>618</v>
      </c>
      <c r="BG152" s="65"/>
      <c r="BH152" s="65"/>
      <c r="BI152" s="65"/>
      <c r="BJ152" s="65"/>
      <c r="BK152" s="65"/>
      <c r="BL152" s="65"/>
      <c r="BM152" s="65"/>
      <c r="BN152" s="65">
        <v>45434</v>
      </c>
      <c r="BO152" s="65" t="s">
        <v>626</v>
      </c>
      <c r="BP152" s="65"/>
      <c r="BQ152" s="65">
        <v>45397</v>
      </c>
      <c r="BR152" s="65" t="s">
        <v>629</v>
      </c>
      <c r="BS152" s="65"/>
      <c r="BT152" s="65"/>
      <c r="BU152" s="65"/>
      <c r="BV152" s="65"/>
      <c r="BW152" s="65">
        <v>45351</v>
      </c>
      <c r="BX152" s="65" t="s">
        <v>630</v>
      </c>
      <c r="BY152" s="65"/>
      <c r="BZ152" s="65">
        <v>45300</v>
      </c>
      <c r="CA152" s="65" t="s">
        <v>629</v>
      </c>
      <c r="CB152" s="65"/>
    </row>
    <row r="153" spans="1:80" s="64" customFormat="1" ht="22" customHeight="1" x14ac:dyDescent="0.2">
      <c r="A153" s="53" t="s">
        <v>38</v>
      </c>
      <c r="B153" s="63">
        <f ca="1">TODAY()</f>
        <v>45935</v>
      </c>
      <c r="C153" s="69" t="s">
        <v>535</v>
      </c>
      <c r="D153" s="68" t="s">
        <v>372</v>
      </c>
      <c r="E153" s="64" t="s">
        <v>9</v>
      </c>
      <c r="F153" s="2" t="s">
        <v>111</v>
      </c>
      <c r="G153" s="65">
        <v>45566</v>
      </c>
      <c r="H153" s="65">
        <v>45930</v>
      </c>
      <c r="I153" s="66">
        <v>10</v>
      </c>
      <c r="J153" s="66">
        <f>COUNTIF(Table26[[#This Row],[2025 October
Actual]:[2024 January 
Done by 2]],"&gt;=" &amp;Table26[[#This Row],[Service Start Date ]])</f>
        <v>8</v>
      </c>
      <c r="K153" s="66">
        <f>Table26[[#This Row],[Actual Services
to be done]]-Table26[[#This Row],[Completed Services]]</f>
        <v>2</v>
      </c>
      <c r="L153" s="64" t="s">
        <v>119</v>
      </c>
      <c r="M153" s="67">
        <f ca="1">B153-AA153</f>
        <v>116</v>
      </c>
      <c r="N153" s="65">
        <f ca="1">((B153+(-M153+35)))</f>
        <v>45854</v>
      </c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>
        <v>45819</v>
      </c>
      <c r="AB153" s="65" t="s">
        <v>615</v>
      </c>
      <c r="AC153" s="65"/>
      <c r="AD153" s="65">
        <v>45780</v>
      </c>
      <c r="AE153" s="65" t="s">
        <v>615</v>
      </c>
      <c r="AF153" s="65"/>
      <c r="AG153" s="65">
        <v>45749</v>
      </c>
      <c r="AH153" s="65" t="s">
        <v>621</v>
      </c>
      <c r="AI153" s="65"/>
      <c r="AJ153" s="65">
        <v>45721</v>
      </c>
      <c r="AK153" s="65" t="s">
        <v>618</v>
      </c>
      <c r="AL153" s="65"/>
      <c r="AM153" s="65">
        <v>45693</v>
      </c>
      <c r="AN153" s="65" t="s">
        <v>615</v>
      </c>
      <c r="AO153" s="65"/>
      <c r="AP153" s="65">
        <v>45659</v>
      </c>
      <c r="AQ153" s="65" t="s">
        <v>615</v>
      </c>
      <c r="AR153" s="65"/>
      <c r="AS153" s="65"/>
      <c r="AT153" s="65"/>
      <c r="AU153" s="65"/>
      <c r="AV153" s="65">
        <v>45616</v>
      </c>
      <c r="AW153" s="65" t="s">
        <v>618</v>
      </c>
      <c r="AX153" s="65"/>
      <c r="AY153" s="65">
        <v>45568</v>
      </c>
      <c r="AZ153" s="65" t="s">
        <v>615</v>
      </c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</row>
    <row r="154" spans="1:80" s="64" customFormat="1" ht="22" customHeight="1" x14ac:dyDescent="0.2">
      <c r="A154" s="53" t="s">
        <v>35</v>
      </c>
      <c r="B154" s="63">
        <f ca="1">TODAY()</f>
        <v>45935</v>
      </c>
      <c r="C154" s="69" t="s">
        <v>536</v>
      </c>
      <c r="D154" s="68" t="s">
        <v>400</v>
      </c>
      <c r="E154" s="126" t="s">
        <v>109</v>
      </c>
      <c r="F154" s="2" t="s">
        <v>111</v>
      </c>
      <c r="G154" s="65">
        <v>45546</v>
      </c>
      <c r="H154" s="65">
        <v>45910</v>
      </c>
      <c r="I154" s="66"/>
      <c r="J154" s="66"/>
      <c r="K154" s="66"/>
      <c r="L154" s="64" t="s">
        <v>119</v>
      </c>
      <c r="M154" s="67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>
        <v>45745</v>
      </c>
      <c r="AK154" s="65" t="s">
        <v>618</v>
      </c>
      <c r="AL154" s="65"/>
      <c r="AM154" s="65">
        <v>45708</v>
      </c>
      <c r="AN154" s="65" t="s">
        <v>615</v>
      </c>
      <c r="AO154" s="65"/>
      <c r="AP154" s="65">
        <v>45660</v>
      </c>
      <c r="AQ154" s="65" t="s">
        <v>615</v>
      </c>
      <c r="AR154" s="65"/>
      <c r="AS154" s="65"/>
      <c r="AT154" s="65"/>
      <c r="AU154" s="65"/>
      <c r="AV154" s="65">
        <v>45618</v>
      </c>
      <c r="AW154" s="65" t="s">
        <v>618</v>
      </c>
      <c r="AX154" s="65"/>
      <c r="AY154" s="65">
        <v>45573</v>
      </c>
      <c r="AZ154" s="65" t="s">
        <v>618</v>
      </c>
      <c r="BA154" s="65"/>
      <c r="BB154" s="65">
        <v>45547</v>
      </c>
      <c r="BC154" s="65" t="s">
        <v>615</v>
      </c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</row>
    <row r="155" spans="1:80" s="64" customFormat="1" ht="22" customHeight="1" x14ac:dyDescent="0.2">
      <c r="A155" s="53" t="s">
        <v>35</v>
      </c>
      <c r="B155" s="63">
        <f ca="1">TODAY()</f>
        <v>45935</v>
      </c>
      <c r="C155" s="69" t="s">
        <v>545</v>
      </c>
      <c r="D155" s="68" t="s">
        <v>380</v>
      </c>
      <c r="E155" s="126" t="s">
        <v>14</v>
      </c>
      <c r="F155" s="2" t="s">
        <v>112</v>
      </c>
      <c r="G155" s="65">
        <v>45384</v>
      </c>
      <c r="H155" s="65">
        <v>45748</v>
      </c>
      <c r="I155" s="66"/>
      <c r="J155" s="66"/>
      <c r="K155" s="66"/>
      <c r="L155" s="64" t="s">
        <v>119</v>
      </c>
      <c r="M155" s="67">
        <f ca="1">B155-U155</f>
        <v>59</v>
      </c>
      <c r="N155" s="65"/>
      <c r="O155" s="65"/>
      <c r="P155" s="65"/>
      <c r="Q155" s="65"/>
      <c r="R155" s="65"/>
      <c r="S155" s="65"/>
      <c r="T155" s="65"/>
      <c r="U155" s="65">
        <v>45876</v>
      </c>
      <c r="V155" s="65" t="s">
        <v>621</v>
      </c>
      <c r="W155" s="65" t="s">
        <v>618</v>
      </c>
      <c r="X155" s="65"/>
      <c r="Y155" s="65"/>
      <c r="Z155" s="65"/>
      <c r="AA155" s="65"/>
      <c r="AB155" s="65"/>
      <c r="AC155" s="65"/>
      <c r="AD155" s="65">
        <v>45789</v>
      </c>
      <c r="AE155" s="65" t="s">
        <v>615</v>
      </c>
      <c r="AF155" s="65"/>
      <c r="AG155" s="65">
        <v>45769</v>
      </c>
      <c r="AH155" s="65" t="s">
        <v>622</v>
      </c>
      <c r="AI155" s="65"/>
      <c r="AJ155" s="65"/>
      <c r="AK155" s="65"/>
      <c r="AL155" s="65"/>
      <c r="AM155" s="65">
        <v>45703</v>
      </c>
      <c r="AN155" s="65" t="s">
        <v>615</v>
      </c>
      <c r="AO155" s="65"/>
      <c r="AP155" s="65">
        <v>45659</v>
      </c>
      <c r="AQ155" s="65" t="s">
        <v>622</v>
      </c>
      <c r="AR155" s="65"/>
      <c r="AS155" s="65"/>
      <c r="AT155" s="65"/>
      <c r="AU155" s="65"/>
      <c r="AV155" s="65"/>
      <c r="AW155" s="65"/>
      <c r="AX155" s="65"/>
      <c r="AY155" s="65">
        <v>45583</v>
      </c>
      <c r="AZ155" s="95" t="s">
        <v>622</v>
      </c>
      <c r="BA155" s="65"/>
      <c r="BB155" s="65">
        <v>45553</v>
      </c>
      <c r="BC155" s="65" t="s">
        <v>622</v>
      </c>
      <c r="BD155" s="65"/>
      <c r="BE155" s="65">
        <v>45525</v>
      </c>
      <c r="BF155" s="65" t="s">
        <v>618</v>
      </c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>
        <v>45387</v>
      </c>
      <c r="BR155" s="65" t="s">
        <v>629</v>
      </c>
      <c r="BS155" s="65"/>
      <c r="BT155" s="65"/>
      <c r="BU155" s="65"/>
      <c r="BV155" s="65"/>
      <c r="BW155" s="65">
        <v>45345</v>
      </c>
      <c r="BX155" s="65" t="s">
        <v>630</v>
      </c>
      <c r="BY155" s="65"/>
      <c r="BZ155" s="65"/>
      <c r="CA155" s="65"/>
      <c r="CB155" s="65"/>
    </row>
    <row r="156" spans="1:80" s="64" customFormat="1" ht="22" customHeight="1" x14ac:dyDescent="0.2">
      <c r="A156" s="53" t="s">
        <v>37</v>
      </c>
      <c r="B156" s="63">
        <f ca="1">TODAY()</f>
        <v>45935</v>
      </c>
      <c r="C156" s="69" t="s">
        <v>497</v>
      </c>
      <c r="D156" s="68" t="s">
        <v>379</v>
      </c>
      <c r="E156" s="126" t="s">
        <v>10</v>
      </c>
      <c r="F156" s="2" t="s">
        <v>111</v>
      </c>
      <c r="G156" s="65">
        <v>45597</v>
      </c>
      <c r="H156" s="65">
        <v>45961</v>
      </c>
      <c r="I156" s="66">
        <f ca="1">(Table26[[#This Row],[Ref Date]]-Table26[[#This Row],[Service Start Date ]])/35</f>
        <v>9.6571428571428566</v>
      </c>
      <c r="J156" s="66">
        <f>COUNTIF(Table26[[#This Row],[2025 October
Actual]:[2024 January 
Done by 2]],"&gt;=" &amp;Table26[[#This Row],[Service Start Date ]])</f>
        <v>3</v>
      </c>
      <c r="K156" s="66">
        <f ca="1">Table26[[#This Row],[Actual Services
to be done]]-Table26[[#This Row],[Completed Services]]</f>
        <v>6.6571428571428566</v>
      </c>
      <c r="L156" s="64" t="s">
        <v>119</v>
      </c>
      <c r="M156" s="67">
        <f ca="1">B156-AD156</f>
        <v>155</v>
      </c>
      <c r="N156" s="65">
        <f ca="1">((B156+(-M156+35-10)))</f>
        <v>45805</v>
      </c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>
        <v>45780</v>
      </c>
      <c r="AE156" s="65" t="s">
        <v>618</v>
      </c>
      <c r="AF156" s="65"/>
      <c r="AG156" s="65"/>
      <c r="AH156" s="65"/>
      <c r="AI156" s="65"/>
      <c r="AJ156" s="65"/>
      <c r="AK156" s="65"/>
      <c r="AL156" s="65"/>
      <c r="AM156" s="65">
        <v>45689</v>
      </c>
      <c r="AN156" s="65" t="s">
        <v>615</v>
      </c>
      <c r="AO156" s="65"/>
      <c r="AP156" s="65">
        <v>45661</v>
      </c>
      <c r="AQ156" s="65" t="s">
        <v>615</v>
      </c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>
        <v>45563</v>
      </c>
      <c r="BC156" s="65" t="s">
        <v>622</v>
      </c>
      <c r="BD156" s="65"/>
      <c r="BE156" s="65">
        <v>45514</v>
      </c>
      <c r="BF156" s="65" t="s">
        <v>622</v>
      </c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>
        <v>45409</v>
      </c>
      <c r="BR156" s="65" t="s">
        <v>629</v>
      </c>
      <c r="BS156" s="65"/>
      <c r="BT156" s="65">
        <v>45354</v>
      </c>
      <c r="BU156" s="65" t="s">
        <v>630</v>
      </c>
      <c r="BV156" s="65"/>
      <c r="BW156" s="65"/>
      <c r="BX156" s="65"/>
      <c r="BY156" s="65"/>
      <c r="BZ156" s="65"/>
      <c r="CA156" s="65"/>
      <c r="CB156" s="65"/>
    </row>
    <row r="157" spans="1:80" s="64" customFormat="1" ht="22" customHeight="1" x14ac:dyDescent="0.2">
      <c r="A157" s="53" t="s">
        <v>37</v>
      </c>
      <c r="B157" s="63">
        <f ca="1">TODAY()</f>
        <v>45935</v>
      </c>
      <c r="C157" s="69" t="s">
        <v>596</v>
      </c>
      <c r="D157" s="68" t="s">
        <v>359</v>
      </c>
      <c r="E157" s="126" t="s">
        <v>86</v>
      </c>
      <c r="F157" s="2" t="s">
        <v>113</v>
      </c>
      <c r="G157" s="65">
        <v>45839</v>
      </c>
      <c r="H157" s="65">
        <v>46203</v>
      </c>
      <c r="I157" s="66">
        <f ca="1">(Table26[[#This Row],[Ref Date]]-Table26[[#This Row],[Service Start Date ]])/35</f>
        <v>2.7428571428571429</v>
      </c>
      <c r="J157" s="66">
        <f>COUNTIF(Table26[[#This Row],[2025 October
Actual]:[2024 January 
Done by 2]],"&gt;=" &amp;Table26[[#This Row],[Service Start Date ]])</f>
        <v>1</v>
      </c>
      <c r="K157" s="66">
        <f ca="1">Table26[[#This Row],[Actual Services
to be done]]-Table26[[#This Row],[Completed Services]]</f>
        <v>1.7428571428571429</v>
      </c>
      <c r="L157" s="64" t="s">
        <v>119</v>
      </c>
      <c r="M157" s="67">
        <f ca="1">B157-R157</f>
        <v>5</v>
      </c>
      <c r="N157" s="65">
        <f ca="1">((B157+(-M157+35-10)))</f>
        <v>45955</v>
      </c>
      <c r="O157" s="65"/>
      <c r="P157" s="65"/>
      <c r="Q157" s="65"/>
      <c r="R157" s="65">
        <v>45930</v>
      </c>
      <c r="S157" s="65" t="s">
        <v>615</v>
      </c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>
        <v>45805</v>
      </c>
      <c r="AE157" s="65" t="s">
        <v>618</v>
      </c>
      <c r="AF157" s="65"/>
      <c r="AG157" s="65">
        <v>45779</v>
      </c>
      <c r="AH157" s="65" t="s">
        <v>621</v>
      </c>
      <c r="AI157" s="65"/>
      <c r="AJ157" s="65">
        <v>45733</v>
      </c>
      <c r="AK157" s="65" t="s">
        <v>621</v>
      </c>
      <c r="AL157" s="65" t="s">
        <v>615</v>
      </c>
      <c r="AM157" s="65">
        <v>45694</v>
      </c>
      <c r="AN157" s="65" t="s">
        <v>620</v>
      </c>
      <c r="AO157" s="65" t="s">
        <v>628</v>
      </c>
      <c r="AP157" s="65"/>
      <c r="AQ157" s="65"/>
      <c r="AR157" s="65"/>
      <c r="AS157" s="65"/>
      <c r="AT157" s="65"/>
      <c r="AU157" s="65"/>
      <c r="AV157" s="65"/>
      <c r="AW157" s="65"/>
      <c r="AX157" s="65"/>
      <c r="AY157" s="65">
        <v>45566</v>
      </c>
      <c r="AZ157" s="65" t="s">
        <v>615</v>
      </c>
      <c r="BA157" s="65"/>
      <c r="BB157" s="65">
        <v>45550</v>
      </c>
      <c r="BC157" s="65" t="s">
        <v>621</v>
      </c>
      <c r="BD157" s="65"/>
      <c r="BE157" s="65">
        <v>45535</v>
      </c>
      <c r="BF157" s="65" t="s">
        <v>618</v>
      </c>
      <c r="BG157" s="65" t="s">
        <v>628</v>
      </c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</row>
    <row r="158" spans="1:80" s="64" customFormat="1" ht="22" customHeight="1" x14ac:dyDescent="0.2">
      <c r="A158" s="53" t="s">
        <v>159</v>
      </c>
      <c r="B158" s="63">
        <f ca="1">TODAY()</f>
        <v>45935</v>
      </c>
      <c r="C158" s="69" t="s">
        <v>541</v>
      </c>
      <c r="D158" s="68" t="s">
        <v>297</v>
      </c>
      <c r="E158" s="64" t="s">
        <v>190</v>
      </c>
      <c r="F158" s="2" t="s">
        <v>112</v>
      </c>
      <c r="G158" s="65">
        <v>45689</v>
      </c>
      <c r="H158" s="65">
        <v>46053</v>
      </c>
      <c r="I158" s="66">
        <f ca="1">(Table26[[#This Row],[Ref Date]]-Table26[[#This Row],[Service Start Date ]])/35</f>
        <v>7.0285714285714285</v>
      </c>
      <c r="J158" s="66">
        <f>COUNTIF(Table26[[#This Row],[2025 October
Actual]:[2024 January 
Done by 2]],"&gt;=" &amp;Table26[[#This Row],[Service Start Date ]])</f>
        <v>6</v>
      </c>
      <c r="K158" s="66">
        <f ca="1">Table26[[#This Row],[Actual Services
to be done]]-Table26[[#This Row],[Completed Services]]</f>
        <v>1.0285714285714285</v>
      </c>
      <c r="L158" s="64" t="s">
        <v>119</v>
      </c>
      <c r="M158" s="67">
        <f ca="1">B158-R158</f>
        <v>22</v>
      </c>
      <c r="N158" s="65">
        <f ca="1">((B158+(-M158+35-10)))</f>
        <v>45938</v>
      </c>
      <c r="O158" s="65"/>
      <c r="P158" s="65"/>
      <c r="Q158" s="65"/>
      <c r="R158" s="65">
        <v>45913</v>
      </c>
      <c r="S158" s="65" t="s">
        <v>618</v>
      </c>
      <c r="T158" s="65"/>
      <c r="U158" s="65"/>
      <c r="V158" s="65"/>
      <c r="W158" s="65"/>
      <c r="X158" s="65">
        <v>45859</v>
      </c>
      <c r="Y158" s="65" t="s">
        <v>618</v>
      </c>
      <c r="Z158" s="65"/>
      <c r="AA158" s="65"/>
      <c r="AB158" s="65"/>
      <c r="AC158" s="65"/>
      <c r="AD158" s="65">
        <v>45807</v>
      </c>
      <c r="AE158" s="65" t="s">
        <v>618</v>
      </c>
      <c r="AF158" s="65"/>
      <c r="AG158" s="65">
        <v>45769</v>
      </c>
      <c r="AH158" s="65" t="s">
        <v>618</v>
      </c>
      <c r="AI158" s="65"/>
      <c r="AJ158" s="65">
        <v>45723</v>
      </c>
      <c r="AK158" s="65" t="s">
        <v>615</v>
      </c>
      <c r="AL158" s="65"/>
      <c r="AM158" s="65">
        <v>45693</v>
      </c>
      <c r="AN158" s="65" t="s">
        <v>621</v>
      </c>
      <c r="AO158" s="65" t="s">
        <v>618</v>
      </c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</row>
    <row r="159" spans="1:80" s="64" customFormat="1" ht="22" customHeight="1" x14ac:dyDescent="0.2">
      <c r="A159" s="53" t="s">
        <v>37</v>
      </c>
      <c r="B159" s="63">
        <f ca="1">TODAY()</f>
        <v>45935</v>
      </c>
      <c r="C159" s="69" t="s">
        <v>578</v>
      </c>
      <c r="D159" s="68" t="s">
        <v>303</v>
      </c>
      <c r="E159" s="64" t="s">
        <v>47</v>
      </c>
      <c r="F159" s="2" t="s">
        <v>113</v>
      </c>
      <c r="G159" s="65">
        <v>45749</v>
      </c>
      <c r="H159" s="65">
        <v>46113</v>
      </c>
      <c r="I159" s="66">
        <f ca="1">(Table26[[#This Row],[Ref Date]]-Table26[[#This Row],[Service Start Date ]])/60</f>
        <v>3.1</v>
      </c>
      <c r="J159" s="66">
        <f>COUNTIF(Table26[[#This Row],[2025 October
Actual]:[2024 January 
Done by 2]],"&gt;=" &amp;Table26[[#This Row],[Service Start Date ]])</f>
        <v>1</v>
      </c>
      <c r="K159" s="66">
        <f ca="1">Table26[[#This Row],[Actual Services
to be done]]-Table26[[#This Row],[Completed Services]]</f>
        <v>2.1</v>
      </c>
      <c r="L159" s="64" t="s">
        <v>118</v>
      </c>
      <c r="M159" s="67">
        <f ca="1">B159-AD159</f>
        <v>151</v>
      </c>
      <c r="N159" s="65">
        <f ca="1">((B159+(-M159+60-10)))</f>
        <v>45834</v>
      </c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>
        <v>45784</v>
      </c>
      <c r="AE159" s="65" t="s">
        <v>621</v>
      </c>
      <c r="AF159" s="65"/>
      <c r="AG159" s="65"/>
      <c r="AH159" s="65"/>
      <c r="AI159" s="65"/>
      <c r="AJ159" s="65">
        <v>45724</v>
      </c>
      <c r="AK159" s="65" t="s">
        <v>622</v>
      </c>
      <c r="AL159" s="65"/>
      <c r="AM159" s="65">
        <v>45691</v>
      </c>
      <c r="AN159" s="65" t="s">
        <v>621</v>
      </c>
      <c r="AO159" s="65"/>
      <c r="AP159" s="65">
        <v>45667</v>
      </c>
      <c r="AQ159" s="65" t="s">
        <v>622</v>
      </c>
      <c r="AR159" s="65"/>
      <c r="AS159" s="65"/>
      <c r="AT159" s="65"/>
      <c r="AU159" s="65"/>
      <c r="AV159" s="65"/>
      <c r="AW159" s="65"/>
      <c r="AX159" s="65"/>
      <c r="AY159" s="65">
        <v>45589</v>
      </c>
      <c r="AZ159" s="65" t="s">
        <v>615</v>
      </c>
      <c r="BA159" s="65"/>
      <c r="BB159" s="65"/>
      <c r="BC159" s="65"/>
      <c r="BD159" s="65"/>
      <c r="BE159" s="65">
        <v>45531</v>
      </c>
      <c r="BF159" s="65" t="s">
        <v>615</v>
      </c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>
        <v>45385</v>
      </c>
      <c r="BR159" s="65" t="s">
        <v>629</v>
      </c>
      <c r="BS159" s="65"/>
      <c r="BT159" s="65"/>
      <c r="BU159" s="65"/>
      <c r="BV159" s="65"/>
      <c r="BW159" s="65"/>
      <c r="BX159" s="65"/>
      <c r="BY159" s="65"/>
      <c r="BZ159" s="65">
        <v>45312</v>
      </c>
      <c r="CA159" s="65" t="s">
        <v>629</v>
      </c>
      <c r="CB159" s="65"/>
    </row>
    <row r="160" spans="1:80" s="64" customFormat="1" ht="22" customHeight="1" x14ac:dyDescent="0.2">
      <c r="A160" s="53" t="s">
        <v>37</v>
      </c>
      <c r="B160" s="63">
        <f ca="1">TODAY()</f>
        <v>45935</v>
      </c>
      <c r="C160" s="69" t="s">
        <v>587</v>
      </c>
      <c r="D160" s="68" t="s">
        <v>395</v>
      </c>
      <c r="E160" s="126" t="s">
        <v>93</v>
      </c>
      <c r="F160" s="2" t="s">
        <v>113</v>
      </c>
      <c r="G160" s="65">
        <v>45659</v>
      </c>
      <c r="H160" s="65">
        <v>46023</v>
      </c>
      <c r="I160" s="66">
        <f ca="1">(Table26[[#This Row],[Ref Date]]-Table26[[#This Row],[Service Start Date ]])/60</f>
        <v>4.5999999999999996</v>
      </c>
      <c r="J160" s="66">
        <f>COUNTIF(Table26[[#This Row],[2025 October
Actual]:[2024 January 
Done by 2]],"&gt;=" &amp;Table26[[#This Row],[Service Start Date ]])</f>
        <v>4</v>
      </c>
      <c r="K160" s="66">
        <f ca="1">Table26[[#This Row],[Actual Services
to be done]]-Table26[[#This Row],[Completed Services]]</f>
        <v>0.59999999999999964</v>
      </c>
      <c r="L160" s="64" t="s">
        <v>118</v>
      </c>
      <c r="M160" s="67">
        <f ca="1">B160-R160</f>
        <v>11</v>
      </c>
      <c r="N160" s="65">
        <f ca="1">((B160+(-M160+60-10)))</f>
        <v>45974</v>
      </c>
      <c r="O160" s="65"/>
      <c r="P160" s="65"/>
      <c r="Q160" s="65"/>
      <c r="R160" s="65">
        <v>45924</v>
      </c>
      <c r="S160" s="65" t="s">
        <v>620</v>
      </c>
      <c r="T160" s="65"/>
      <c r="U160" s="65"/>
      <c r="V160" s="65"/>
      <c r="W160" s="65"/>
      <c r="X160" s="65"/>
      <c r="Y160" s="65"/>
      <c r="Z160" s="65"/>
      <c r="AA160" s="65">
        <v>45814</v>
      </c>
      <c r="AB160" s="65" t="s">
        <v>618</v>
      </c>
      <c r="AC160" s="65"/>
      <c r="AD160" s="65"/>
      <c r="AE160" s="65"/>
      <c r="AF160" s="65"/>
      <c r="AG160" s="65"/>
      <c r="AH160" s="65"/>
      <c r="AI160" s="65"/>
      <c r="AJ160" s="65">
        <v>45724</v>
      </c>
      <c r="AK160" s="65" t="s">
        <v>622</v>
      </c>
      <c r="AL160" s="65"/>
      <c r="AM160" s="65">
        <v>45709</v>
      </c>
      <c r="AN160" s="65" t="s">
        <v>621</v>
      </c>
      <c r="AO160" s="65"/>
      <c r="AP160" s="65"/>
      <c r="AQ160" s="65"/>
      <c r="AR160" s="65"/>
      <c r="AS160" s="65"/>
      <c r="AT160" s="65"/>
      <c r="AU160" s="65"/>
      <c r="AV160" s="65">
        <v>45619</v>
      </c>
      <c r="AW160" s="65" t="s">
        <v>622</v>
      </c>
      <c r="AX160" s="65"/>
      <c r="AY160" s="65">
        <v>45575</v>
      </c>
      <c r="AZ160" s="95" t="s">
        <v>622</v>
      </c>
      <c r="BA160" s="65"/>
      <c r="BB160" s="65"/>
      <c r="BC160" s="65"/>
      <c r="BD160" s="65"/>
      <c r="BE160" s="65">
        <v>45531</v>
      </c>
      <c r="BF160" s="65" t="s">
        <v>615</v>
      </c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>
        <v>45394</v>
      </c>
      <c r="BR160" s="65" t="s">
        <v>629</v>
      </c>
      <c r="BS160" s="65" t="s">
        <v>628</v>
      </c>
      <c r="BT160" s="65"/>
      <c r="BU160" s="65"/>
      <c r="BV160" s="65"/>
      <c r="BW160" s="65">
        <v>45323</v>
      </c>
      <c r="BX160" s="65" t="s">
        <v>629</v>
      </c>
      <c r="BY160" s="65"/>
      <c r="BZ160" s="65"/>
      <c r="CA160" s="65"/>
      <c r="CB160" s="65"/>
    </row>
    <row r="161" spans="1:80" s="64" customFormat="1" ht="22" customHeight="1" x14ac:dyDescent="0.2">
      <c r="A161" s="53" t="s">
        <v>37</v>
      </c>
      <c r="B161" s="96">
        <f ca="1">TODAY()</f>
        <v>45935</v>
      </c>
      <c r="C161" s="69" t="s">
        <v>613</v>
      </c>
      <c r="D161" s="68" t="s">
        <v>408</v>
      </c>
      <c r="E161" s="102" t="s">
        <v>5</v>
      </c>
      <c r="F161" s="2" t="s">
        <v>113</v>
      </c>
      <c r="G161" s="65">
        <v>45641</v>
      </c>
      <c r="H161" s="65">
        <v>46005</v>
      </c>
      <c r="I161" s="66">
        <f ca="1">(Table26[[#This Row],[Ref Date]]-Table26[[#This Row],[Service Start Date ]])/35</f>
        <v>8.4</v>
      </c>
      <c r="J161" s="66">
        <f>COUNTIF(Table26[[#This Row],[2025 October
Actual]:[2024 January 
Done by 2]],"&gt;=" &amp;Table26[[#This Row],[Service Start Date ]])</f>
        <v>8</v>
      </c>
      <c r="K161" s="66">
        <f ca="1">Table26[[#This Row],[Actual Services
to be done]]-Table26[[#This Row],[Completed Services]]</f>
        <v>0.40000000000000036</v>
      </c>
      <c r="L161" s="64" t="s">
        <v>119</v>
      </c>
      <c r="M161" s="67">
        <f ca="1">B161-R161</f>
        <v>10</v>
      </c>
      <c r="N161" s="65">
        <f ca="1">((B161+(-M161+35-5)))</f>
        <v>45955</v>
      </c>
      <c r="O161" s="65"/>
      <c r="P161" s="65"/>
      <c r="Q161" s="65"/>
      <c r="R161" s="65">
        <v>45925</v>
      </c>
      <c r="S161" s="65" t="s">
        <v>618</v>
      </c>
      <c r="T161" s="65"/>
      <c r="U161" s="65">
        <v>45880</v>
      </c>
      <c r="V161" s="65" t="s">
        <v>618</v>
      </c>
      <c r="W161" s="65"/>
      <c r="X161" s="65">
        <v>45853</v>
      </c>
      <c r="Y161" s="65" t="s">
        <v>618</v>
      </c>
      <c r="Z161" s="65"/>
      <c r="AA161" s="65"/>
      <c r="AB161" s="65"/>
      <c r="AC161" s="65"/>
      <c r="AD161" s="65">
        <v>45785</v>
      </c>
      <c r="AE161" s="65" t="s">
        <v>622</v>
      </c>
      <c r="AF161" s="65"/>
      <c r="AG161" s="65">
        <v>45748</v>
      </c>
      <c r="AH161" s="65" t="s">
        <v>622</v>
      </c>
      <c r="AI161" s="65"/>
      <c r="AJ161" s="65">
        <v>45719</v>
      </c>
      <c r="AK161" s="65" t="s">
        <v>622</v>
      </c>
      <c r="AL161" s="65"/>
      <c r="AM161" s="65">
        <v>45692</v>
      </c>
      <c r="AN161" s="65" t="s">
        <v>622</v>
      </c>
      <c r="AO161" s="65"/>
      <c r="AP161" s="97">
        <v>45668</v>
      </c>
      <c r="AQ161" s="65" t="s">
        <v>622</v>
      </c>
      <c r="AR161" s="97"/>
      <c r="AS161" s="97"/>
      <c r="AT161" s="97"/>
      <c r="AU161" s="97"/>
      <c r="AV161" s="97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</row>
    <row r="162" spans="1:80" s="64" customFormat="1" ht="22" customHeight="1" x14ac:dyDescent="0.2">
      <c r="A162" s="53" t="s">
        <v>35</v>
      </c>
      <c r="B162" s="63">
        <f ca="1">TODAY()</f>
        <v>45935</v>
      </c>
      <c r="C162" s="69" t="s">
        <v>520</v>
      </c>
      <c r="D162" s="68" t="s">
        <v>285</v>
      </c>
      <c r="E162" s="64" t="s">
        <v>172</v>
      </c>
      <c r="F162" s="2" t="s">
        <v>113</v>
      </c>
      <c r="G162" s="65">
        <v>45384</v>
      </c>
      <c r="H162" s="65">
        <v>45749</v>
      </c>
      <c r="I162" s="66"/>
      <c r="J162" s="66"/>
      <c r="K162" s="66"/>
      <c r="L162" s="64" t="s">
        <v>119</v>
      </c>
      <c r="M162" s="67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>
        <v>45754</v>
      </c>
      <c r="AH162" s="65" t="s">
        <v>622</v>
      </c>
      <c r="AI162" s="65"/>
      <c r="AJ162" s="65">
        <v>45726</v>
      </c>
      <c r="AK162" s="65" t="s">
        <v>622</v>
      </c>
      <c r="AL162" s="65"/>
      <c r="AM162" s="65">
        <v>45689</v>
      </c>
      <c r="AN162" s="65" t="s">
        <v>622</v>
      </c>
      <c r="AO162" s="65"/>
      <c r="AP162" s="65"/>
      <c r="AQ162" s="65"/>
      <c r="AR162" s="65"/>
      <c r="AS162" s="65"/>
      <c r="AT162" s="65"/>
      <c r="AU162" s="65"/>
      <c r="AV162" s="65">
        <v>45624</v>
      </c>
      <c r="AW162" s="65" t="s">
        <v>622</v>
      </c>
      <c r="AX162" s="65"/>
      <c r="AY162" s="65">
        <v>45593</v>
      </c>
      <c r="AZ162" s="65" t="s">
        <v>615</v>
      </c>
      <c r="BA162" s="65"/>
      <c r="BB162" s="65">
        <v>45565</v>
      </c>
      <c r="BC162" s="65" t="s">
        <v>615</v>
      </c>
      <c r="BD162" s="65"/>
      <c r="BE162" s="65">
        <v>45528</v>
      </c>
      <c r="BF162" s="65" t="s">
        <v>615</v>
      </c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>
        <v>45400</v>
      </c>
      <c r="BR162" s="65" t="s">
        <v>629</v>
      </c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</row>
    <row r="163" spans="1:80" ht="22" customHeight="1" x14ac:dyDescent="0.2">
      <c r="A163" s="53" t="s">
        <v>37</v>
      </c>
      <c r="B163" s="63">
        <f ca="1">TODAY()</f>
        <v>45935</v>
      </c>
      <c r="C163" s="69" t="s">
        <v>440</v>
      </c>
      <c r="D163" s="68" t="s">
        <v>225</v>
      </c>
      <c r="E163" s="64" t="s">
        <v>51</v>
      </c>
      <c r="F163" s="2" t="s">
        <v>112</v>
      </c>
      <c r="G163" s="65">
        <v>45689</v>
      </c>
      <c r="H163" s="65">
        <v>46053</v>
      </c>
      <c r="I163" s="66">
        <f ca="1">(Table26[[#This Row],[Ref Date]]-Table26[[#This Row],[Service Start Date ]])/60</f>
        <v>4.0999999999999996</v>
      </c>
      <c r="J163" s="66">
        <f>COUNTIF(Table26[[#This Row],[2025 October
Actual]:[2024 January 
Done by 2]],"&gt;=" &amp;Table26[[#This Row],[Service Start Date ]])</f>
        <v>3</v>
      </c>
      <c r="K163" s="66">
        <f ca="1">Table26[[#This Row],[Actual Services
to be done]]-Table26[[#This Row],[Completed Services]]</f>
        <v>1.0999999999999996</v>
      </c>
      <c r="L163" s="64" t="s">
        <v>118</v>
      </c>
      <c r="M163" s="67">
        <f ca="1">B163-R163</f>
        <v>22</v>
      </c>
      <c r="N163" s="65">
        <f ca="1">((B163+(-M163+60-10)))</f>
        <v>45963</v>
      </c>
      <c r="O163" s="65"/>
      <c r="P163" s="65"/>
      <c r="Q163" s="65"/>
      <c r="R163" s="65">
        <v>45913</v>
      </c>
      <c r="S163" s="65" t="s">
        <v>620</v>
      </c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>
        <v>45800</v>
      </c>
      <c r="AE163" s="65" t="s">
        <v>615</v>
      </c>
      <c r="AF163" s="65"/>
      <c r="AG163" s="65"/>
      <c r="AH163" s="65"/>
      <c r="AI163" s="65"/>
      <c r="AJ163" s="65"/>
      <c r="AK163" s="65"/>
      <c r="AL163" s="65"/>
      <c r="AM163" s="65">
        <v>45707</v>
      </c>
      <c r="AN163" s="65" t="s">
        <v>622</v>
      </c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</row>
    <row r="164" spans="1:80" ht="22" customHeight="1" x14ac:dyDescent="0.2">
      <c r="A164" s="53" t="s">
        <v>37</v>
      </c>
      <c r="B164" s="63">
        <f ca="1">TODAY()</f>
        <v>45935</v>
      </c>
      <c r="C164" s="69" t="s">
        <v>437</v>
      </c>
      <c r="D164" s="68" t="s">
        <v>252</v>
      </c>
      <c r="E164" s="64" t="s">
        <v>31</v>
      </c>
      <c r="F164" s="2" t="s">
        <v>111</v>
      </c>
      <c r="G164" s="65">
        <v>45839</v>
      </c>
      <c r="H164" s="65">
        <v>46203</v>
      </c>
      <c r="I164" s="66">
        <f ca="1">(Table26[[#This Row],[Ref Date]]-Table26[[#This Row],[Service Start Date ]])/60</f>
        <v>1.6</v>
      </c>
      <c r="J164" s="66">
        <f>COUNTIF(Table26[[#This Row],[2025 October
Actual]:[2024 January 
Done by 2]],"&gt;=" &amp;Table26[[#This Row],[Service Start Date ]])</f>
        <v>0</v>
      </c>
      <c r="K164" s="66">
        <f ca="1">Table26[[#This Row],[Actual Services
to be done]]-Table26[[#This Row],[Completed Services]]</f>
        <v>1.6</v>
      </c>
      <c r="L164" s="64" t="s">
        <v>118</v>
      </c>
      <c r="M164" s="67">
        <f ca="1">B164-AA164</f>
        <v>121</v>
      </c>
      <c r="N164" s="65">
        <f ca="1">((B164+(-M164+60-10)))</f>
        <v>45864</v>
      </c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>
        <v>45814</v>
      </c>
      <c r="AB164" s="65" t="s">
        <v>621</v>
      </c>
      <c r="AC164" s="65"/>
      <c r="AD164" s="65"/>
      <c r="AE164" s="65"/>
      <c r="AF164" s="65"/>
      <c r="AG164" s="65">
        <v>45752</v>
      </c>
      <c r="AH164" s="65" t="s">
        <v>618</v>
      </c>
      <c r="AI164" s="65"/>
      <c r="AJ164" s="65">
        <v>45721</v>
      </c>
      <c r="AK164" s="65" t="s">
        <v>615</v>
      </c>
      <c r="AL164" s="65"/>
      <c r="AM164" s="65"/>
      <c r="AN164" s="65"/>
      <c r="AO164" s="65"/>
      <c r="AP164" s="65">
        <v>45674</v>
      </c>
      <c r="AQ164" s="65" t="s">
        <v>615</v>
      </c>
      <c r="AR164" s="65"/>
      <c r="AS164" s="65"/>
      <c r="AT164" s="65"/>
      <c r="AU164" s="65"/>
      <c r="AV164" s="65">
        <v>45607</v>
      </c>
      <c r="AW164" s="65" t="s">
        <v>615</v>
      </c>
      <c r="AX164" s="65"/>
      <c r="AY164" s="65"/>
      <c r="AZ164" s="65"/>
      <c r="BA164" s="65"/>
      <c r="BB164" s="65">
        <v>45558</v>
      </c>
      <c r="BC164" s="65" t="s">
        <v>615</v>
      </c>
      <c r="BD164" s="65"/>
      <c r="BE164" s="65">
        <v>45513</v>
      </c>
      <c r="BF164" s="65" t="s">
        <v>615</v>
      </c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>
        <v>45406</v>
      </c>
      <c r="BR164" s="65" t="s">
        <v>621</v>
      </c>
      <c r="BS164" s="65"/>
      <c r="BT164" s="65"/>
      <c r="BU164" s="65"/>
      <c r="BV164" s="65"/>
      <c r="BW164" s="65">
        <v>45341</v>
      </c>
      <c r="BX164" s="65" t="s">
        <v>630</v>
      </c>
      <c r="BY164" s="65"/>
      <c r="BZ164" s="65"/>
      <c r="CA164" s="65"/>
      <c r="CB164" s="65"/>
    </row>
    <row r="165" spans="1:80" ht="22" customHeight="1" x14ac:dyDescent="0.2">
      <c r="A165" s="53" t="s">
        <v>37</v>
      </c>
      <c r="B165" s="63">
        <f ca="1">TODAY()</f>
        <v>45935</v>
      </c>
      <c r="C165" s="69" t="s">
        <v>577</v>
      </c>
      <c r="D165" s="68" t="s">
        <v>322</v>
      </c>
      <c r="E165" s="126" t="s">
        <v>106</v>
      </c>
      <c r="F165" s="2" t="s">
        <v>112</v>
      </c>
      <c r="G165" s="65">
        <v>45597</v>
      </c>
      <c r="H165" s="65">
        <v>45961</v>
      </c>
      <c r="I165" s="66">
        <f ca="1">(Table26[[#This Row],[Ref Date]]-Table26[[#This Row],[Service Start Date ]])/60</f>
        <v>5.6333333333333337</v>
      </c>
      <c r="J165" s="66">
        <f>COUNTIF(Table26[[#This Row],[2025 October
Actual]:[2024 January 
Done by 2]],"&gt;=" &amp;Table26[[#This Row],[Service Start Date ]])</f>
        <v>6</v>
      </c>
      <c r="K165" s="66">
        <f ca="1">Table26[[#This Row],[Actual Services
to be done]]-Table26[[#This Row],[Completed Services]]</f>
        <v>-0.36666666666666625</v>
      </c>
      <c r="L165" s="64" t="s">
        <v>118</v>
      </c>
      <c r="M165" s="67">
        <f ca="1">B165-O165</f>
        <v>1</v>
      </c>
      <c r="N165" s="65">
        <f ca="1">((B165+(-M165+60-10)))</f>
        <v>45984</v>
      </c>
      <c r="O165" s="65">
        <v>45934</v>
      </c>
      <c r="P165" s="65" t="s">
        <v>615</v>
      </c>
      <c r="Q165" s="65"/>
      <c r="R165" s="65"/>
      <c r="S165" s="65"/>
      <c r="T165" s="65"/>
      <c r="U165" s="65">
        <v>45875</v>
      </c>
      <c r="V165" s="65" t="s">
        <v>618</v>
      </c>
      <c r="W165" s="65"/>
      <c r="X165" s="65"/>
      <c r="Y165" s="65"/>
      <c r="Z165" s="65"/>
      <c r="AA165" s="65"/>
      <c r="AB165" s="65"/>
      <c r="AC165" s="65"/>
      <c r="AD165" s="65">
        <v>45782</v>
      </c>
      <c r="AE165" s="65" t="s">
        <v>615</v>
      </c>
      <c r="AF165" s="65"/>
      <c r="AG165" s="65"/>
      <c r="AH165" s="65"/>
      <c r="AI165" s="65"/>
      <c r="AJ165" s="65">
        <v>45727</v>
      </c>
      <c r="AK165" s="65" t="s">
        <v>615</v>
      </c>
      <c r="AL165" s="65"/>
      <c r="AM165" s="65"/>
      <c r="AN165" s="65"/>
      <c r="AO165" s="65"/>
      <c r="AP165" s="65">
        <v>45681</v>
      </c>
      <c r="AQ165" s="65" t="s">
        <v>615</v>
      </c>
      <c r="AR165" s="65"/>
      <c r="AS165" s="65"/>
      <c r="AT165" s="65"/>
      <c r="AU165" s="65"/>
      <c r="AV165" s="65">
        <v>45624</v>
      </c>
      <c r="AW165" s="65" t="s">
        <v>615</v>
      </c>
      <c r="AX165" s="65"/>
      <c r="AY165" s="65">
        <v>45579</v>
      </c>
      <c r="AZ165" s="95" t="s">
        <v>622</v>
      </c>
      <c r="BA165" s="65"/>
      <c r="BB165" s="65"/>
      <c r="BC165" s="65"/>
      <c r="BD165" s="65"/>
      <c r="BE165" s="65">
        <v>45527</v>
      </c>
      <c r="BF165" s="65" t="s">
        <v>618</v>
      </c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>
        <v>45404</v>
      </c>
      <c r="BR165" s="65" t="s">
        <v>629</v>
      </c>
      <c r="BS165" s="65"/>
      <c r="BT165" s="65"/>
      <c r="BU165" s="65"/>
      <c r="BV165" s="65"/>
      <c r="BW165" s="65">
        <v>45328</v>
      </c>
      <c r="BX165" s="65" t="s">
        <v>629</v>
      </c>
      <c r="BY165" s="65"/>
      <c r="BZ165" s="65"/>
      <c r="CA165" s="65"/>
      <c r="CB165" s="65"/>
    </row>
    <row r="166" spans="1:80" ht="22" customHeight="1" x14ac:dyDescent="0.2">
      <c r="A166" s="53" t="s">
        <v>37</v>
      </c>
      <c r="B166" s="63">
        <f ca="1">TODAY()</f>
        <v>45935</v>
      </c>
      <c r="C166" s="69" t="s">
        <v>575</v>
      </c>
      <c r="D166" s="68" t="s">
        <v>361</v>
      </c>
      <c r="E166" s="70" t="s">
        <v>11</v>
      </c>
      <c r="F166" s="2" t="s">
        <v>112</v>
      </c>
      <c r="G166" s="65">
        <v>45726</v>
      </c>
      <c r="H166" s="65">
        <v>46090</v>
      </c>
      <c r="I166" s="66">
        <f ca="1">(Table26[[#This Row],[Ref Date]]-Table26[[#This Row],[Service Start Date ]])/60</f>
        <v>3.4833333333333334</v>
      </c>
      <c r="J166" s="66">
        <f>COUNTIF(Table26[[#This Row],[2025 October
Actual]:[2024 January 
Done by 2]],"&gt;=" &amp;Table26[[#This Row],[Service Start Date ]])</f>
        <v>1</v>
      </c>
      <c r="K166" s="66">
        <f ca="1">Table26[[#This Row],[Actual Services
to be done]]-Table26[[#This Row],[Completed Services]]</f>
        <v>2.4833333333333334</v>
      </c>
      <c r="L166" s="64" t="s">
        <v>118</v>
      </c>
      <c r="M166" s="67">
        <f ca="1">B166-AD166</f>
        <v>153</v>
      </c>
      <c r="N166" s="65">
        <f ca="1">((B166+(-M166+60-10)))</f>
        <v>45832</v>
      </c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>
        <v>45782</v>
      </c>
      <c r="AE166" s="65" t="s">
        <v>615</v>
      </c>
      <c r="AF166" s="65"/>
      <c r="AG166" s="65"/>
      <c r="AH166" s="65"/>
      <c r="AI166" s="65"/>
      <c r="AJ166" s="65">
        <v>45724</v>
      </c>
      <c r="AK166" s="65" t="s">
        <v>615</v>
      </c>
      <c r="AL166" s="65"/>
      <c r="AM166" s="65"/>
      <c r="AN166" s="65"/>
      <c r="AO166" s="65"/>
      <c r="AP166" s="65">
        <v>45674</v>
      </c>
      <c r="AQ166" s="65" t="s">
        <v>615</v>
      </c>
      <c r="AR166" s="65"/>
      <c r="AS166" s="65"/>
      <c r="AT166" s="65"/>
      <c r="AU166" s="65"/>
      <c r="AV166" s="65">
        <v>45623</v>
      </c>
      <c r="AW166" s="65" t="s">
        <v>615</v>
      </c>
      <c r="AX166" s="65"/>
      <c r="AY166" s="65">
        <v>45579</v>
      </c>
      <c r="AZ166" s="95" t="s">
        <v>622</v>
      </c>
      <c r="BA166" s="65"/>
      <c r="BB166" s="65"/>
      <c r="BC166" s="65"/>
      <c r="BD166" s="65"/>
      <c r="BE166" s="65">
        <v>45517</v>
      </c>
      <c r="BF166" s="65" t="s">
        <v>615</v>
      </c>
      <c r="BG166" s="65"/>
      <c r="BH166" s="65"/>
      <c r="BI166" s="65"/>
      <c r="BJ166" s="65"/>
      <c r="BK166" s="65"/>
      <c r="BL166" s="65"/>
      <c r="BM166" s="65"/>
      <c r="BN166" s="65">
        <v>45430</v>
      </c>
      <c r="BO166" s="65" t="s">
        <v>626</v>
      </c>
      <c r="BP166" s="65"/>
      <c r="BQ166" s="65"/>
      <c r="BR166" s="65"/>
      <c r="BS166" s="65"/>
      <c r="BT166" s="65">
        <v>45359</v>
      </c>
      <c r="BU166" s="65" t="s">
        <v>630</v>
      </c>
      <c r="BV166" s="65"/>
      <c r="BW166" s="65"/>
      <c r="BX166" s="65"/>
      <c r="BY166" s="65"/>
      <c r="BZ166" s="65">
        <v>45293</v>
      </c>
      <c r="CA166" s="65" t="s">
        <v>629</v>
      </c>
      <c r="CB166" s="65"/>
    </row>
    <row r="167" spans="1:80" ht="22" customHeight="1" x14ac:dyDescent="0.2">
      <c r="A167" s="53" t="s">
        <v>37</v>
      </c>
      <c r="B167" s="63">
        <f ca="1">TODAY()</f>
        <v>45935</v>
      </c>
      <c r="C167" s="69" t="s">
        <v>449</v>
      </c>
      <c r="D167" s="68" t="s">
        <v>402</v>
      </c>
      <c r="E167" s="64" t="s">
        <v>95</v>
      </c>
      <c r="F167" s="2" t="s">
        <v>111</v>
      </c>
      <c r="G167" s="65">
        <v>45659</v>
      </c>
      <c r="H167" s="65">
        <v>46023</v>
      </c>
      <c r="I167" s="66">
        <f ca="1">(Table26[[#This Row],[Ref Date]]-Table26[[#This Row],[Service Start Date ]])/60</f>
        <v>4.5999999999999996</v>
      </c>
      <c r="J167" s="66">
        <f>COUNTIF(Table26[[#This Row],[2025 October
Actual]:[2024 January 
Done by 2]],"&gt;=" &amp;Table26[[#This Row],[Service Start Date ]])</f>
        <v>4</v>
      </c>
      <c r="K167" s="66">
        <f ca="1">Table26[[#This Row],[Actual Services
to be done]]-Table26[[#This Row],[Completed Services]]</f>
        <v>0.59999999999999964</v>
      </c>
      <c r="L167" s="64" t="s">
        <v>118</v>
      </c>
      <c r="M167" s="67">
        <f ca="1">B167-AD167</f>
        <v>138</v>
      </c>
      <c r="N167" s="65">
        <f ca="1">((B167+(-M167+60-10)))</f>
        <v>45847</v>
      </c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>
        <v>45797</v>
      </c>
      <c r="AE167" s="65" t="s">
        <v>620</v>
      </c>
      <c r="AF167" s="65"/>
      <c r="AG167" s="65">
        <v>45780</v>
      </c>
      <c r="AH167" s="65" t="s">
        <v>618</v>
      </c>
      <c r="AI167" s="65"/>
      <c r="AJ167" s="65">
        <v>45745</v>
      </c>
      <c r="AK167" s="65" t="s">
        <v>618</v>
      </c>
      <c r="AL167" s="65"/>
      <c r="AM167" s="65"/>
      <c r="AN167" s="65"/>
      <c r="AO167" s="65"/>
      <c r="AP167" s="65">
        <v>45659</v>
      </c>
      <c r="AQ167" s="65" t="s">
        <v>622</v>
      </c>
      <c r="AR167" s="65"/>
      <c r="AS167" s="65"/>
      <c r="AT167" s="65"/>
      <c r="AU167" s="65"/>
      <c r="AV167" s="65"/>
      <c r="AW167" s="65"/>
      <c r="AX167" s="65"/>
      <c r="AY167" s="65">
        <v>45584</v>
      </c>
      <c r="AZ167" s="65" t="s">
        <v>618</v>
      </c>
      <c r="BA167" s="65"/>
      <c r="BB167" s="65"/>
      <c r="BC167" s="65"/>
      <c r="BD167" s="65"/>
      <c r="BE167" s="65">
        <v>45535</v>
      </c>
      <c r="BF167" s="65" t="s">
        <v>615</v>
      </c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>
        <v>45395</v>
      </c>
      <c r="BR167" s="65" t="s">
        <v>629</v>
      </c>
      <c r="BS167" s="65"/>
      <c r="BT167" s="65"/>
      <c r="BU167" s="65"/>
      <c r="BV167" s="65"/>
      <c r="BW167" s="65">
        <v>45325</v>
      </c>
      <c r="BX167" s="65" t="s">
        <v>629</v>
      </c>
      <c r="BY167" s="65"/>
      <c r="BZ167" s="65"/>
      <c r="CA167" s="65"/>
      <c r="CB167" s="65"/>
    </row>
    <row r="168" spans="1:80" ht="22" customHeight="1" x14ac:dyDescent="0.2">
      <c r="A168" s="53" t="s">
        <v>37</v>
      </c>
      <c r="B168" s="63">
        <f ca="1">TODAY()</f>
        <v>45935</v>
      </c>
      <c r="C168" s="69" t="s">
        <v>576</v>
      </c>
      <c r="D168" s="68" t="s">
        <v>327</v>
      </c>
      <c r="E168" s="64" t="s">
        <v>2</v>
      </c>
      <c r="F168" s="2" t="s">
        <v>113</v>
      </c>
      <c r="G168" s="65">
        <v>45667</v>
      </c>
      <c r="H168" s="65">
        <v>46031</v>
      </c>
      <c r="I168" s="66">
        <f ca="1">(Table26[[#This Row],[Ref Date]]-Table26[[#This Row],[Service Start Date ]])/60</f>
        <v>4.4666666666666668</v>
      </c>
      <c r="J168" s="66">
        <f>COUNTIF(Table26[[#This Row],[2025 October
Actual]:[2024 January 
Done by 2]],"&gt;=" &amp;Table26[[#This Row],[Service Start Date ]])</f>
        <v>3</v>
      </c>
      <c r="K168" s="66">
        <f ca="1">Table26[[#This Row],[Actual Services
to be done]]-Table26[[#This Row],[Completed Services]]</f>
        <v>1.4666666666666668</v>
      </c>
      <c r="L168" s="64" t="s">
        <v>118</v>
      </c>
      <c r="M168" s="67">
        <f ca="1">B168-U168</f>
        <v>43</v>
      </c>
      <c r="N168" s="65">
        <f ca="1">((B168+(-M168+60-10)))</f>
        <v>45942</v>
      </c>
      <c r="O168" s="65"/>
      <c r="P168" s="65"/>
      <c r="Q168" s="65"/>
      <c r="R168" s="65"/>
      <c r="S168" s="65"/>
      <c r="T168" s="65"/>
      <c r="U168" s="65">
        <v>45892</v>
      </c>
      <c r="V168" s="65" t="s">
        <v>618</v>
      </c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>
        <v>45719</v>
      </c>
      <c r="AK168" s="65" t="s">
        <v>618</v>
      </c>
      <c r="AL168" s="65"/>
      <c r="AM168" s="65"/>
      <c r="AN168" s="65"/>
      <c r="AO168" s="65"/>
      <c r="AP168" s="65">
        <v>45681</v>
      </c>
      <c r="AQ168" s="65" t="s">
        <v>622</v>
      </c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</row>
    <row r="169" spans="1:80" ht="22" customHeight="1" x14ac:dyDescent="0.2">
      <c r="A169" s="53" t="s">
        <v>159</v>
      </c>
      <c r="B169" s="63">
        <f ca="1">TODAY()</f>
        <v>45935</v>
      </c>
      <c r="C169" s="69" t="s">
        <v>598</v>
      </c>
      <c r="D169" s="68" t="s">
        <v>272</v>
      </c>
      <c r="E169" s="64" t="s">
        <v>135</v>
      </c>
      <c r="F169" s="2" t="s">
        <v>113</v>
      </c>
      <c r="G169" s="65">
        <v>45717</v>
      </c>
      <c r="H169" s="65">
        <v>46081</v>
      </c>
      <c r="I169" s="66">
        <f ca="1">(Table26[[#This Row],[Ref Date]]-Table26[[#This Row],[Service Start Date ]])/35</f>
        <v>6.2285714285714286</v>
      </c>
      <c r="J169" s="66">
        <f>COUNTIF(Table26[[#This Row],[2025 October
Actual]:[2024 January 
Done by 2]],"&gt;=" &amp;Table26[[#This Row],[Service Start Date ]])</f>
        <v>5</v>
      </c>
      <c r="K169" s="66">
        <f ca="1">Table26[[#This Row],[Actual Services
to be done]]-Table26[[#This Row],[Completed Services]]</f>
        <v>1.2285714285714286</v>
      </c>
      <c r="L169" s="64" t="s">
        <v>119</v>
      </c>
      <c r="M169" s="67">
        <f ca="1">B169-U169</f>
        <v>44</v>
      </c>
      <c r="N169" s="65">
        <f ca="1">((B169+(-M169+35-10)))</f>
        <v>45916</v>
      </c>
      <c r="O169" s="65"/>
      <c r="P169" s="65"/>
      <c r="Q169" s="65"/>
      <c r="R169" s="65"/>
      <c r="S169" s="65"/>
      <c r="T169" s="65"/>
      <c r="U169" s="65">
        <v>45891</v>
      </c>
      <c r="V169" s="65" t="s">
        <v>621</v>
      </c>
      <c r="W169" s="65" t="s">
        <v>617</v>
      </c>
      <c r="X169" s="65">
        <v>45856</v>
      </c>
      <c r="Y169" s="65" t="s">
        <v>618</v>
      </c>
      <c r="Z169" s="65"/>
      <c r="AA169" s="65"/>
      <c r="AB169" s="65"/>
      <c r="AC169" s="65"/>
      <c r="AD169" s="65">
        <v>45783</v>
      </c>
      <c r="AE169" s="65" t="s">
        <v>615</v>
      </c>
      <c r="AF169" s="65"/>
      <c r="AG169" s="65">
        <v>45754</v>
      </c>
      <c r="AH169" s="65" t="s">
        <v>618</v>
      </c>
      <c r="AI169" s="65"/>
      <c r="AJ169" s="65">
        <v>45717</v>
      </c>
      <c r="AK169" s="65" t="s">
        <v>622</v>
      </c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</row>
    <row r="170" spans="1:80" ht="22" customHeight="1" x14ac:dyDescent="0.2">
      <c r="A170" s="53" t="s">
        <v>38</v>
      </c>
      <c r="B170" s="63">
        <f ca="1">TODAY()</f>
        <v>45935</v>
      </c>
      <c r="C170" s="69" t="s">
        <v>426</v>
      </c>
      <c r="D170" s="68" t="s">
        <v>353</v>
      </c>
      <c r="E170" s="64" t="s">
        <v>2</v>
      </c>
      <c r="F170" s="2" t="s">
        <v>112</v>
      </c>
      <c r="G170" s="65">
        <v>45566</v>
      </c>
      <c r="H170" s="65">
        <v>45930</v>
      </c>
      <c r="I170" s="66">
        <f ca="1">(Table26[[#This Row],[Ref Date]]-Table26[[#This Row],[Service Start Date ]])/60</f>
        <v>6.15</v>
      </c>
      <c r="J170" s="66">
        <f>COUNTIF(Table26[[#This Row],[2025 October
Actual]:[2024 January 
Done by 2]],"&gt;=" &amp;Table26[[#This Row],[Service Start Date ]])</f>
        <v>6</v>
      </c>
      <c r="K170" s="66">
        <f ca="1">Table26[[#This Row],[Actual Services
to be done]]-Table26[[#This Row],[Completed Services]]</f>
        <v>0.15000000000000036</v>
      </c>
      <c r="L170" s="64" t="s">
        <v>118</v>
      </c>
      <c r="M170" s="67">
        <f ca="1">B170-X170</f>
        <v>82</v>
      </c>
      <c r="N170" s="65">
        <f ca="1">((B170+(-M170+60)))</f>
        <v>45913</v>
      </c>
      <c r="O170" s="65"/>
      <c r="P170" s="65"/>
      <c r="Q170" s="65"/>
      <c r="R170" s="65"/>
      <c r="S170" s="65"/>
      <c r="T170" s="65"/>
      <c r="U170" s="65"/>
      <c r="V170" s="65"/>
      <c r="W170" s="65"/>
      <c r="X170" s="65">
        <v>45853</v>
      </c>
      <c r="Y170" s="65" t="s">
        <v>621</v>
      </c>
      <c r="Z170" s="65"/>
      <c r="AA170" s="65"/>
      <c r="AB170" s="65"/>
      <c r="AC170" s="65"/>
      <c r="AD170" s="65">
        <v>45801</v>
      </c>
      <c r="AE170" s="65" t="s">
        <v>615</v>
      </c>
      <c r="AF170" s="65"/>
      <c r="AG170" s="65"/>
      <c r="AH170" s="65"/>
      <c r="AI170" s="65"/>
      <c r="AJ170" s="65">
        <v>45722</v>
      </c>
      <c r="AK170" s="65" t="s">
        <v>622</v>
      </c>
      <c r="AL170" s="65"/>
      <c r="AM170" s="65"/>
      <c r="AN170" s="65"/>
      <c r="AO170" s="65"/>
      <c r="AP170" s="65">
        <v>45681</v>
      </c>
      <c r="AQ170" s="65" t="s">
        <v>622</v>
      </c>
      <c r="AR170" s="65"/>
      <c r="AS170" s="65"/>
      <c r="AT170" s="65"/>
      <c r="AU170" s="65"/>
      <c r="AV170" s="65">
        <v>45617</v>
      </c>
      <c r="AW170" s="65" t="s">
        <v>622</v>
      </c>
      <c r="AX170" s="65"/>
      <c r="AY170" s="65">
        <v>45572</v>
      </c>
      <c r="AZ170" s="95" t="s">
        <v>622</v>
      </c>
      <c r="BA170" s="65"/>
      <c r="BB170" s="65"/>
      <c r="BC170" s="65"/>
      <c r="BD170" s="65"/>
      <c r="BE170" s="65">
        <v>45532</v>
      </c>
      <c r="BF170" s="65" t="s">
        <v>618</v>
      </c>
      <c r="BG170" s="65"/>
      <c r="BH170" s="65"/>
      <c r="BI170" s="65"/>
      <c r="BJ170" s="65"/>
      <c r="BK170" s="65"/>
      <c r="BL170" s="65"/>
      <c r="BM170" s="65"/>
      <c r="BN170" s="65">
        <v>45432</v>
      </c>
      <c r="BO170" s="65" t="s">
        <v>626</v>
      </c>
      <c r="BP170" s="65"/>
      <c r="BQ170" s="65"/>
      <c r="BR170" s="65"/>
      <c r="BS170" s="65"/>
      <c r="BT170" s="65">
        <v>45353</v>
      </c>
      <c r="BU170" s="65" t="s">
        <v>631</v>
      </c>
      <c r="BV170" s="65"/>
      <c r="BW170" s="65"/>
      <c r="BX170" s="65"/>
      <c r="BY170" s="65"/>
      <c r="BZ170" s="65">
        <v>45293</v>
      </c>
      <c r="CA170" s="65" t="s">
        <v>629</v>
      </c>
      <c r="CB170" s="65"/>
    </row>
    <row r="171" spans="1:80" ht="22" customHeight="1" x14ac:dyDescent="0.2">
      <c r="A171" s="53" t="s">
        <v>38</v>
      </c>
      <c r="B171" s="63">
        <f ca="1">TODAY()</f>
        <v>45935</v>
      </c>
      <c r="C171" s="69" t="s">
        <v>476</v>
      </c>
      <c r="D171" s="68" t="s">
        <v>305</v>
      </c>
      <c r="E171" s="64" t="s">
        <v>2</v>
      </c>
      <c r="F171" s="2" t="s">
        <v>112</v>
      </c>
      <c r="G171" s="65">
        <v>45508</v>
      </c>
      <c r="H171" s="65">
        <v>45873</v>
      </c>
      <c r="I171" s="66">
        <v>6</v>
      </c>
      <c r="J171" s="66">
        <f>COUNTIF(Table26[[#This Row],[2025 October
Actual]:[2024 January 
Done by 2]],"&gt;=" &amp;Table26[[#This Row],[Service Start Date ]])</f>
        <v>7</v>
      </c>
      <c r="K171" s="66">
        <f>Table26[[#This Row],[Actual Services
to be done]]-Table26[[#This Row],[Completed Services]]</f>
        <v>-1</v>
      </c>
      <c r="L171" s="64" t="s">
        <v>118</v>
      </c>
      <c r="M171" s="67">
        <f ca="1">B171-R171</f>
        <v>9</v>
      </c>
      <c r="N171" s="65">
        <f ca="1">((B171+(-M171+60)))</f>
        <v>45986</v>
      </c>
      <c r="O171" s="65"/>
      <c r="P171" s="65"/>
      <c r="Q171" s="65"/>
      <c r="R171" s="65">
        <v>45926</v>
      </c>
      <c r="S171" s="65" t="s">
        <v>617</v>
      </c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>
        <v>45804</v>
      </c>
      <c r="AE171" s="65" t="s">
        <v>615</v>
      </c>
      <c r="AF171" s="65"/>
      <c r="AG171" s="65"/>
      <c r="AH171" s="65"/>
      <c r="AI171" s="65"/>
      <c r="AJ171" s="65">
        <v>45722</v>
      </c>
      <c r="AK171" s="65" t="s">
        <v>622</v>
      </c>
      <c r="AL171" s="65"/>
      <c r="AM171" s="65"/>
      <c r="AN171" s="65"/>
      <c r="AO171" s="65"/>
      <c r="AP171" s="65">
        <v>45664</v>
      </c>
      <c r="AQ171" s="65" t="s">
        <v>622</v>
      </c>
      <c r="AR171" s="65"/>
      <c r="AS171" s="65"/>
      <c r="AT171" s="65"/>
      <c r="AU171" s="65"/>
      <c r="AV171" s="65"/>
      <c r="AW171" s="65"/>
      <c r="AX171" s="65"/>
      <c r="AY171" s="65">
        <v>45594</v>
      </c>
      <c r="AZ171" s="65" t="s">
        <v>618</v>
      </c>
      <c r="BA171" s="65"/>
      <c r="BB171" s="65">
        <v>45555</v>
      </c>
      <c r="BC171" s="65" t="s">
        <v>615</v>
      </c>
      <c r="BD171" s="65"/>
      <c r="BE171" s="65">
        <v>45510</v>
      </c>
      <c r="BF171" s="65" t="s">
        <v>622</v>
      </c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>
        <v>45405</v>
      </c>
      <c r="BR171" s="65" t="s">
        <v>629</v>
      </c>
      <c r="BS171" s="65"/>
      <c r="BT171" s="65"/>
      <c r="BU171" s="65"/>
      <c r="BV171" s="65"/>
      <c r="BW171" s="65">
        <v>45344</v>
      </c>
      <c r="BX171" s="65" t="s">
        <v>626</v>
      </c>
      <c r="BY171" s="65"/>
      <c r="BZ171" s="65"/>
      <c r="CA171" s="65"/>
      <c r="CB171" s="65"/>
    </row>
    <row r="172" spans="1:80" ht="22" customHeight="1" x14ac:dyDescent="0.2">
      <c r="A172" s="53" t="s">
        <v>37</v>
      </c>
      <c r="B172" s="63">
        <f ca="1">TODAY()</f>
        <v>45935</v>
      </c>
      <c r="C172" s="69" t="s">
        <v>443</v>
      </c>
      <c r="D172" s="68" t="s">
        <v>273</v>
      </c>
      <c r="E172" s="64" t="s">
        <v>18</v>
      </c>
      <c r="F172" s="2" t="s">
        <v>111</v>
      </c>
      <c r="G172" s="65">
        <v>45717</v>
      </c>
      <c r="H172" s="65">
        <v>46081</v>
      </c>
      <c r="I172" s="66">
        <f ca="1">(Table26[[#This Row],[Ref Date]]-Table26[[#This Row],[Service Start Date ]])/60</f>
        <v>3.6333333333333333</v>
      </c>
      <c r="J172" s="66">
        <f>COUNTIF(Table26[[#This Row],[2025 October
Actual]:[2024 January 
Done by 2]],"&gt;=" &amp;Table26[[#This Row],[Service Start Date ]])</f>
        <v>3</v>
      </c>
      <c r="K172" s="66">
        <f ca="1">Table26[[#This Row],[Actual Services
to be done]]-Table26[[#This Row],[Completed Services]]</f>
        <v>0.6333333333333333</v>
      </c>
      <c r="L172" s="64" t="s">
        <v>118</v>
      </c>
      <c r="M172" s="67">
        <f ca="1">B172-R172</f>
        <v>6</v>
      </c>
      <c r="N172" s="65">
        <f ca="1">((B172+(-M172+60-10)))</f>
        <v>45979</v>
      </c>
      <c r="O172" s="65"/>
      <c r="P172" s="65"/>
      <c r="Q172" s="65"/>
      <c r="R172" s="65">
        <v>45929</v>
      </c>
      <c r="S172" s="65" t="s">
        <v>615</v>
      </c>
      <c r="T172" s="65"/>
      <c r="U172" s="65"/>
      <c r="V172" s="65"/>
      <c r="W172" s="65"/>
      <c r="X172" s="65"/>
      <c r="Y172" s="65"/>
      <c r="Z172" s="65"/>
      <c r="AA172" s="65">
        <v>45811</v>
      </c>
      <c r="AB172" s="65" t="s">
        <v>618</v>
      </c>
      <c r="AC172" s="65"/>
      <c r="AD172" s="65"/>
      <c r="AE172" s="65"/>
      <c r="AF172" s="65"/>
      <c r="AG172" s="65"/>
      <c r="AH172" s="65"/>
      <c r="AI172" s="65"/>
      <c r="AJ172" s="65">
        <v>45745</v>
      </c>
      <c r="AK172" s="65" t="s">
        <v>622</v>
      </c>
      <c r="AL172" s="65"/>
      <c r="AM172" s="65"/>
      <c r="AN172" s="65"/>
      <c r="AO172" s="65"/>
      <c r="AP172" s="65">
        <v>45685</v>
      </c>
      <c r="AQ172" s="65" t="s">
        <v>615</v>
      </c>
      <c r="AR172" s="65"/>
      <c r="AS172" s="65"/>
      <c r="AT172" s="65"/>
      <c r="AU172" s="65"/>
      <c r="AV172" s="65">
        <v>45619</v>
      </c>
      <c r="AW172" s="65" t="s">
        <v>618</v>
      </c>
      <c r="AX172" s="65"/>
      <c r="AY172" s="65">
        <v>45579</v>
      </c>
      <c r="AZ172" s="95" t="s">
        <v>622</v>
      </c>
      <c r="BA172" s="65"/>
      <c r="BB172" s="65"/>
      <c r="BC172" s="65"/>
      <c r="BD172" s="65"/>
      <c r="BE172" s="65">
        <v>45527</v>
      </c>
      <c r="BF172" s="65" t="s">
        <v>618</v>
      </c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>
        <v>45408</v>
      </c>
      <c r="BR172" s="65" t="s">
        <v>629</v>
      </c>
      <c r="BS172" s="65"/>
      <c r="BT172" s="65"/>
      <c r="BU172" s="65"/>
      <c r="BV172" s="65"/>
      <c r="BW172" s="65">
        <v>45330</v>
      </c>
      <c r="BX172" s="65" t="s">
        <v>629</v>
      </c>
      <c r="BY172" s="65"/>
      <c r="BZ172" s="65"/>
      <c r="CA172" s="65"/>
      <c r="CB172" s="65"/>
    </row>
    <row r="173" spans="1:80" ht="22" customHeight="1" x14ac:dyDescent="0.2">
      <c r="A173" s="53" t="s">
        <v>33</v>
      </c>
      <c r="B173" s="63">
        <f ca="1">TODAY()</f>
        <v>45935</v>
      </c>
      <c r="C173" s="69" t="s">
        <v>479</v>
      </c>
      <c r="D173" s="68" t="s">
        <v>298</v>
      </c>
      <c r="E173" s="64" t="s">
        <v>28</v>
      </c>
      <c r="F173" s="2" t="s">
        <v>112</v>
      </c>
      <c r="G173" s="65">
        <v>45536</v>
      </c>
      <c r="H173" s="65">
        <v>45900</v>
      </c>
      <c r="I173" s="66"/>
      <c r="J173" s="66"/>
      <c r="K173" s="66"/>
      <c r="L173" s="64" t="s">
        <v>118</v>
      </c>
      <c r="M173" s="67"/>
      <c r="N173" s="65"/>
      <c r="O173" s="65"/>
      <c r="P173" s="65"/>
      <c r="Q173" s="65"/>
      <c r="R173" s="65">
        <v>45905</v>
      </c>
      <c r="S173" s="65" t="s">
        <v>618</v>
      </c>
      <c r="T173" s="65"/>
      <c r="U173" s="65"/>
      <c r="V173" s="65"/>
      <c r="W173" s="65"/>
      <c r="X173" s="65"/>
      <c r="Y173" s="65"/>
      <c r="Z173" s="65"/>
      <c r="AA173" s="65">
        <v>45813</v>
      </c>
      <c r="AB173" s="65" t="s">
        <v>615</v>
      </c>
      <c r="AC173" s="65"/>
      <c r="AD173" s="65"/>
      <c r="AE173" s="65"/>
      <c r="AF173" s="65"/>
      <c r="AG173" s="65"/>
      <c r="AH173" s="65"/>
      <c r="AI173" s="65"/>
      <c r="AJ173" s="65">
        <v>45745</v>
      </c>
      <c r="AK173" s="65" t="s">
        <v>622</v>
      </c>
      <c r="AL173" s="65"/>
      <c r="AM173" s="65"/>
      <c r="AN173" s="65"/>
      <c r="AO173" s="65"/>
      <c r="AP173" s="65">
        <v>45688</v>
      </c>
      <c r="AQ173" s="65" t="s">
        <v>622</v>
      </c>
      <c r="AR173" s="65"/>
      <c r="AS173" s="65"/>
      <c r="AT173" s="65"/>
      <c r="AU173" s="65"/>
      <c r="AV173" s="65">
        <v>45615</v>
      </c>
      <c r="AW173" s="65" t="s">
        <v>622</v>
      </c>
      <c r="AX173" s="65"/>
      <c r="AY173" s="65">
        <v>45568</v>
      </c>
      <c r="AZ173" s="95" t="s">
        <v>622</v>
      </c>
      <c r="BA173" s="65"/>
      <c r="BB173" s="65"/>
      <c r="BC173" s="65"/>
      <c r="BD173" s="65"/>
      <c r="BE173" s="65">
        <v>45517</v>
      </c>
      <c r="BF173" s="65" t="s">
        <v>621</v>
      </c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>
        <v>45373</v>
      </c>
      <c r="BU173" s="65" t="s">
        <v>629</v>
      </c>
      <c r="BV173" s="65"/>
      <c r="BW173" s="65"/>
      <c r="BX173" s="65"/>
      <c r="BY173" s="65"/>
      <c r="BZ173" s="65">
        <v>45309</v>
      </c>
      <c r="CA173" s="65" t="s">
        <v>629</v>
      </c>
      <c r="CB173" s="65"/>
    </row>
    <row r="174" spans="1:80" s="92" customFormat="1" ht="22" customHeight="1" x14ac:dyDescent="0.2">
      <c r="A174" s="53" t="s">
        <v>37</v>
      </c>
      <c r="B174" s="63">
        <f ca="1">TODAY()</f>
        <v>45935</v>
      </c>
      <c r="C174" s="69" t="s">
        <v>542</v>
      </c>
      <c r="D174" s="68" t="s">
        <v>317</v>
      </c>
      <c r="E174" s="64" t="s">
        <v>8</v>
      </c>
      <c r="F174" s="2" t="s">
        <v>112</v>
      </c>
      <c r="G174" s="65">
        <v>45749</v>
      </c>
      <c r="H174" s="65">
        <v>46113</v>
      </c>
      <c r="I174" s="66">
        <f ca="1">(Table26[[#This Row],[Ref Date]]-Table26[[#This Row],[Service Start Date ]])/35</f>
        <v>5.3142857142857141</v>
      </c>
      <c r="J174" s="66">
        <f>COUNTIF(Table26[[#This Row],[2025 October
Actual]:[2024 January 
Done by 2]],"&gt;=" &amp;Table26[[#This Row],[Service Start Date ]])</f>
        <v>3</v>
      </c>
      <c r="K174" s="66">
        <f ca="1">Table26[[#This Row],[Actual Services
to be done]]-Table26[[#This Row],[Completed Services]]</f>
        <v>2.3142857142857141</v>
      </c>
      <c r="L174" s="64" t="s">
        <v>119</v>
      </c>
      <c r="M174" s="67">
        <f ca="1">B174-R174</f>
        <v>12</v>
      </c>
      <c r="N174" s="65">
        <f ca="1">((B174+(-M174+35-10)))</f>
        <v>45948</v>
      </c>
      <c r="O174" s="65"/>
      <c r="P174" s="65"/>
      <c r="Q174" s="65"/>
      <c r="R174" s="65">
        <v>45923</v>
      </c>
      <c r="S174" s="65" t="s">
        <v>615</v>
      </c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>
        <v>45792</v>
      </c>
      <c r="AE174" s="65" t="s">
        <v>615</v>
      </c>
      <c r="AF174" s="65"/>
      <c r="AG174" s="65">
        <v>45765</v>
      </c>
      <c r="AH174" s="65" t="s">
        <v>615</v>
      </c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</row>
    <row r="175" spans="1:80" ht="22" customHeight="1" x14ac:dyDescent="0.2">
      <c r="A175" s="53" t="s">
        <v>38</v>
      </c>
      <c r="B175" s="63">
        <f ca="1">TODAY()</f>
        <v>45935</v>
      </c>
      <c r="C175" s="69" t="s">
        <v>502</v>
      </c>
      <c r="D175" s="68" t="s">
        <v>374</v>
      </c>
      <c r="E175" s="74" t="s">
        <v>29</v>
      </c>
      <c r="F175" s="2" t="s">
        <v>111</v>
      </c>
      <c r="G175" s="65">
        <v>45505</v>
      </c>
      <c r="H175" s="65">
        <v>45869</v>
      </c>
      <c r="I175" s="66">
        <v>6</v>
      </c>
      <c r="J175" s="66">
        <f>COUNTIF(Table26[[#This Row],[2025 October
Actual]:[2024 January 
Done by 2]],"&gt;=" &amp;Table26[[#This Row],[Service Start Date ]])</f>
        <v>5</v>
      </c>
      <c r="K175" s="66">
        <f>Table26[[#This Row],[Actual Services
to be done]]-Table26[[#This Row],[Completed Services]]</f>
        <v>1</v>
      </c>
      <c r="L175" s="64" t="s">
        <v>118</v>
      </c>
      <c r="M175" s="67">
        <f ca="1">B175-AG175</f>
        <v>172</v>
      </c>
      <c r="N175" s="65">
        <f ca="1">((B175+(-M175+60)))</f>
        <v>45823</v>
      </c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>
        <v>45763</v>
      </c>
      <c r="AH175" s="65" t="s">
        <v>615</v>
      </c>
      <c r="AI175" s="65"/>
      <c r="AJ175" s="65"/>
      <c r="AK175" s="65"/>
      <c r="AL175" s="65"/>
      <c r="AM175" s="65"/>
      <c r="AN175" s="65"/>
      <c r="AO175" s="65"/>
      <c r="AP175" s="65">
        <v>45684</v>
      </c>
      <c r="AQ175" s="65" t="s">
        <v>615</v>
      </c>
      <c r="AR175" s="65"/>
      <c r="AS175" s="65"/>
      <c r="AT175" s="65"/>
      <c r="AU175" s="65"/>
      <c r="AV175" s="65">
        <v>45615</v>
      </c>
      <c r="AW175" s="65" t="s">
        <v>618</v>
      </c>
      <c r="AX175" s="65"/>
      <c r="AY175" s="65"/>
      <c r="AZ175" s="65"/>
      <c r="BA175" s="65"/>
      <c r="BB175" s="65">
        <v>45539</v>
      </c>
      <c r="BC175" s="65" t="s">
        <v>618</v>
      </c>
      <c r="BD175" s="65" t="s">
        <v>621</v>
      </c>
      <c r="BE175" s="65">
        <v>45509</v>
      </c>
      <c r="BF175" s="65" t="s">
        <v>615</v>
      </c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>
        <v>45337</v>
      </c>
      <c r="BX175" s="65" t="s">
        <v>630</v>
      </c>
      <c r="BY175" s="65"/>
      <c r="BZ175" s="65"/>
      <c r="CA175" s="65"/>
      <c r="CB175" s="65"/>
    </row>
    <row r="176" spans="1:80" ht="22" customHeight="1" x14ac:dyDescent="0.2">
      <c r="A176" s="53" t="s">
        <v>37</v>
      </c>
      <c r="B176" s="63">
        <f ca="1">TODAY()</f>
        <v>45935</v>
      </c>
      <c r="C176" s="69" t="s">
        <v>539</v>
      </c>
      <c r="D176" s="68" t="s">
        <v>245</v>
      </c>
      <c r="E176" s="58" t="s">
        <v>196</v>
      </c>
      <c r="F176" s="2" t="s">
        <v>111</v>
      </c>
      <c r="G176" s="65">
        <v>45750</v>
      </c>
      <c r="H176" s="65">
        <v>46114</v>
      </c>
      <c r="I176" s="66">
        <f ca="1">(Table26[[#This Row],[Ref Date]]-Table26[[#This Row],[Service Start Date ]])/35</f>
        <v>5.2857142857142856</v>
      </c>
      <c r="J176" s="66">
        <f>COUNTIF(Table26[[#This Row],[2025 October
Actual]:[2024 January 
Done by 2]],"&gt;=" &amp;Table26[[#This Row],[Service Start Date ]])</f>
        <v>5</v>
      </c>
      <c r="K176" s="66">
        <f ca="1">Table26[[#This Row],[Actual Services
to be done]]-Table26[[#This Row],[Completed Services]]</f>
        <v>0.28571428571428559</v>
      </c>
      <c r="L176" s="64" t="s">
        <v>119</v>
      </c>
      <c r="M176" s="67">
        <f ca="1">B176-R176</f>
        <v>24</v>
      </c>
      <c r="N176" s="65">
        <f ca="1">((B176+(-M176+35-5)))</f>
        <v>45941</v>
      </c>
      <c r="O176" s="65"/>
      <c r="P176" s="65"/>
      <c r="Q176" s="65"/>
      <c r="R176" s="65">
        <v>45911</v>
      </c>
      <c r="S176" s="65" t="s">
        <v>618</v>
      </c>
      <c r="T176" s="65"/>
      <c r="U176" s="65"/>
      <c r="V176" s="65"/>
      <c r="W176" s="65"/>
      <c r="X176" s="65">
        <v>45854</v>
      </c>
      <c r="Y176" s="65" t="s">
        <v>618</v>
      </c>
      <c r="Z176" s="65"/>
      <c r="AA176" s="65">
        <v>45817</v>
      </c>
      <c r="AB176" s="65" t="s">
        <v>615</v>
      </c>
      <c r="AC176" s="65"/>
      <c r="AD176" s="65">
        <v>45785</v>
      </c>
      <c r="AE176" s="65" t="s">
        <v>618</v>
      </c>
      <c r="AF176" s="65"/>
      <c r="AG176" s="65">
        <v>45757</v>
      </c>
      <c r="AH176" s="65" t="s">
        <v>618</v>
      </c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</row>
    <row r="177" spans="1:80" ht="22" customHeight="1" x14ac:dyDescent="0.2">
      <c r="A177" s="53" t="s">
        <v>37</v>
      </c>
      <c r="B177" s="63">
        <f ca="1">TODAY()</f>
        <v>45935</v>
      </c>
      <c r="C177" s="69" t="s">
        <v>540</v>
      </c>
      <c r="D177" s="68" t="s">
        <v>313</v>
      </c>
      <c r="E177" s="58" t="s">
        <v>8</v>
      </c>
      <c r="F177" s="2" t="s">
        <v>111</v>
      </c>
      <c r="G177" s="65">
        <v>45749</v>
      </c>
      <c r="H177" s="65">
        <v>46113</v>
      </c>
      <c r="I177" s="66">
        <f ca="1">(Table26[[#This Row],[Ref Date]]-Table26[[#This Row],[Service Start Date ]])/35</f>
        <v>5.3142857142857141</v>
      </c>
      <c r="J177" s="66">
        <f>COUNTIF(Table26[[#This Row],[2025 October
Actual]:[2024 January 
Done by 2]],"&gt;=" &amp;Table26[[#This Row],[Service Start Date ]])</f>
        <v>3</v>
      </c>
      <c r="K177" s="66">
        <f ca="1">Table26[[#This Row],[Actual Services
to be done]]-Table26[[#This Row],[Completed Services]]</f>
        <v>2.3142857142857141</v>
      </c>
      <c r="L177" s="64" t="s">
        <v>119</v>
      </c>
      <c r="M177" s="67">
        <f ca="1">B177-R177</f>
        <v>17</v>
      </c>
      <c r="N177" s="65">
        <f ca="1">((B177+(-M177+35-10)))</f>
        <v>45943</v>
      </c>
      <c r="O177" s="65"/>
      <c r="P177" s="65"/>
      <c r="Q177" s="65"/>
      <c r="R177" s="65">
        <v>45918</v>
      </c>
      <c r="S177" s="65" t="s">
        <v>615</v>
      </c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>
        <v>45789</v>
      </c>
      <c r="AE177" s="65" t="s">
        <v>615</v>
      </c>
      <c r="AF177" s="65"/>
      <c r="AG177" s="65">
        <v>45749</v>
      </c>
      <c r="AH177" s="65" t="s">
        <v>621</v>
      </c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</row>
    <row r="178" spans="1:80" ht="22" customHeight="1" x14ac:dyDescent="0.2">
      <c r="A178" s="53" t="s">
        <v>159</v>
      </c>
      <c r="B178" s="63">
        <f ca="1">TODAY()</f>
        <v>45935</v>
      </c>
      <c r="C178" s="69" t="s">
        <v>610</v>
      </c>
      <c r="D178" s="68" t="s">
        <v>294</v>
      </c>
      <c r="E178" s="128" t="s">
        <v>89</v>
      </c>
      <c r="F178" s="2" t="s">
        <v>113</v>
      </c>
      <c r="G178" s="65">
        <v>45870</v>
      </c>
      <c r="H178" s="65">
        <v>46234</v>
      </c>
      <c r="I178" s="66">
        <f ca="1">(Table26[[#This Row],[Ref Date]]-Table26[[#This Row],[Service Start Date ]])/35</f>
        <v>1.8571428571428572</v>
      </c>
      <c r="J178" s="66">
        <f>COUNTIF(Table26[[#This Row],[2025 October
Actual]:[2024 January 
Done by 2]],"&gt;=" &amp;Table26[[#This Row],[Service Start Date ]])</f>
        <v>2</v>
      </c>
      <c r="K178" s="66">
        <f ca="1">Table26[[#This Row],[Actual Services
to be done]]-Table26[[#This Row],[Completed Services]]</f>
        <v>-0.14285714285714279</v>
      </c>
      <c r="L178" s="64" t="s">
        <v>119</v>
      </c>
      <c r="M178" s="67">
        <f ca="1">B178-R178</f>
        <v>17</v>
      </c>
      <c r="N178" s="65">
        <f ca="1">((B178+(-M178+35)))</f>
        <v>45953</v>
      </c>
      <c r="O178" s="65"/>
      <c r="P178" s="65"/>
      <c r="Q178" s="65"/>
      <c r="R178" s="65">
        <v>45918</v>
      </c>
      <c r="S178" s="65" t="s">
        <v>617</v>
      </c>
      <c r="T178" s="65"/>
      <c r="U178" s="65">
        <v>45892</v>
      </c>
      <c r="V178" s="65" t="s">
        <v>621</v>
      </c>
      <c r="W178" s="65" t="s">
        <v>617</v>
      </c>
      <c r="X178" s="65">
        <v>45840</v>
      </c>
      <c r="Y178" s="65" t="s">
        <v>620</v>
      </c>
      <c r="Z178" s="65"/>
      <c r="AA178" s="65"/>
      <c r="AB178" s="65"/>
      <c r="AC178" s="65"/>
      <c r="AD178" s="65">
        <v>45790</v>
      </c>
      <c r="AE178" s="65" t="s">
        <v>618</v>
      </c>
      <c r="AF178" s="65" t="s">
        <v>615</v>
      </c>
      <c r="AG178" s="65">
        <v>45768</v>
      </c>
      <c r="AH178" s="65" t="s">
        <v>621</v>
      </c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</row>
    <row r="179" spans="1:80" ht="22" customHeight="1" x14ac:dyDescent="0.2">
      <c r="A179" s="53" t="s">
        <v>37</v>
      </c>
      <c r="B179" s="63">
        <f ca="1">TODAY()</f>
        <v>45935</v>
      </c>
      <c r="C179" s="69" t="s">
        <v>537</v>
      </c>
      <c r="D179" s="68" t="s">
        <v>350</v>
      </c>
      <c r="E179" s="126" t="s">
        <v>6</v>
      </c>
      <c r="F179" s="2" t="s">
        <v>111</v>
      </c>
      <c r="G179" s="65">
        <v>45791</v>
      </c>
      <c r="H179" s="65">
        <v>46155</v>
      </c>
      <c r="I179" s="66">
        <f ca="1">(Table26[[#This Row],[Ref Date]]-Table26[[#This Row],[Service Start Date ]])/35</f>
        <v>4.1142857142857139</v>
      </c>
      <c r="J179" s="66">
        <f>COUNTIF(Table26[[#This Row],[2025 October
Actual]:[2024 January 
Done by 2]],"&gt;=" &amp;Table26[[#This Row],[Service Start Date ]])</f>
        <v>1</v>
      </c>
      <c r="K179" s="66">
        <f ca="1">Table26[[#This Row],[Actual Services
to be done]]-Table26[[#This Row],[Completed Services]]</f>
        <v>3.1142857142857139</v>
      </c>
      <c r="L179" s="64" t="s">
        <v>119</v>
      </c>
      <c r="M179" s="67">
        <f ca="1">B179-AD179</f>
        <v>144</v>
      </c>
      <c r="N179" s="65">
        <f ca="1">((B179+(-M179+35-10)))</f>
        <v>45816</v>
      </c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>
        <v>45791</v>
      </c>
      <c r="AE179" s="65" t="s">
        <v>615</v>
      </c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</row>
    <row r="180" spans="1:80" ht="22" customHeight="1" x14ac:dyDescent="0.2">
      <c r="A180" s="53" t="s">
        <v>37</v>
      </c>
      <c r="B180" s="63">
        <f ca="1">TODAY()</f>
        <v>45935</v>
      </c>
      <c r="C180" s="69" t="s">
        <v>547</v>
      </c>
      <c r="D180" s="68" t="s">
        <v>358</v>
      </c>
      <c r="E180" s="126" t="s">
        <v>142</v>
      </c>
      <c r="F180" s="2" t="s">
        <v>112</v>
      </c>
      <c r="G180" s="65">
        <v>45810</v>
      </c>
      <c r="H180" s="65">
        <v>46174</v>
      </c>
      <c r="I180" s="66">
        <f ca="1">(Table26[[#This Row],[Ref Date]]-Table26[[#This Row],[Service Start Date ]])/35</f>
        <v>3.5714285714285716</v>
      </c>
      <c r="J180" s="66">
        <f>COUNTIF(Table26[[#This Row],[2025 October
Actual]:[2024 January 
Done by 2]],"&gt;=" &amp;Table26[[#This Row],[Service Start Date ]])</f>
        <v>2</v>
      </c>
      <c r="K180" s="66">
        <f ca="1">Table26[[#This Row],[Actual Services
to be done]]-Table26[[#This Row],[Completed Services]]</f>
        <v>1.5714285714285716</v>
      </c>
      <c r="L180" s="64" t="s">
        <v>119</v>
      </c>
      <c r="M180" s="67">
        <f ca="1">B180-U180</f>
        <v>57</v>
      </c>
      <c r="N180" s="65">
        <f ca="1">((B180+(-M180+35-10)))</f>
        <v>45903</v>
      </c>
      <c r="O180" s="65"/>
      <c r="P180" s="65"/>
      <c r="Q180" s="65"/>
      <c r="R180" s="65"/>
      <c r="S180" s="65"/>
      <c r="T180" s="65"/>
      <c r="U180" s="65">
        <v>45878</v>
      </c>
      <c r="V180" s="65" t="s">
        <v>621</v>
      </c>
      <c r="W180" s="65"/>
      <c r="X180" s="65"/>
      <c r="Y180" s="65"/>
      <c r="Z180" s="65"/>
      <c r="AA180" s="65">
        <v>45811</v>
      </c>
      <c r="AB180" s="65" t="s">
        <v>618</v>
      </c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9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</row>
    <row r="181" spans="1:80" ht="22" customHeight="1" x14ac:dyDescent="0.2">
      <c r="A181" s="53" t="s">
        <v>159</v>
      </c>
      <c r="B181" s="63">
        <f ca="1">TODAY()</f>
        <v>45935</v>
      </c>
      <c r="C181" s="69" t="s">
        <v>600</v>
      </c>
      <c r="D181" s="68" t="s">
        <v>346</v>
      </c>
      <c r="E181" s="64" t="s">
        <v>135</v>
      </c>
      <c r="F181" s="2" t="s">
        <v>113</v>
      </c>
      <c r="G181" s="65">
        <v>45809</v>
      </c>
      <c r="H181" s="65">
        <v>46173</v>
      </c>
      <c r="I181" s="66">
        <f ca="1">(Table26[[#This Row],[Ref Date]]-Table26[[#This Row],[Service Start Date ]])/35</f>
        <v>3.6</v>
      </c>
      <c r="J181" s="66">
        <f>COUNTIF(Table26[[#This Row],[2025 October
Actual]:[2024 January 
Done by 2]],"&gt;=" &amp;Table26[[#This Row],[Service Start Date ]])</f>
        <v>1</v>
      </c>
      <c r="K181" s="66">
        <f ca="1">Table26[[#This Row],[Actual Services
to be done]]-Table26[[#This Row],[Completed Services]]</f>
        <v>2.6</v>
      </c>
      <c r="L181" s="64" t="s">
        <v>119</v>
      </c>
      <c r="M181" s="67">
        <f ca="1">B181-AA181</f>
        <v>120</v>
      </c>
      <c r="N181" s="65">
        <f ca="1">((B181+(-M181+35-10)))</f>
        <v>45840</v>
      </c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>
        <v>45815</v>
      </c>
      <c r="AB181" s="65" t="s">
        <v>615</v>
      </c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</row>
    <row r="182" spans="1:80" ht="22" customHeight="1" x14ac:dyDescent="0.2">
      <c r="A182" s="53" t="s">
        <v>159</v>
      </c>
      <c r="B182" s="63">
        <f ca="1">TODAY()</f>
        <v>45935</v>
      </c>
      <c r="C182" s="69" t="s">
        <v>612</v>
      </c>
      <c r="D182" s="68" t="s">
        <v>345</v>
      </c>
      <c r="E182" s="64" t="s">
        <v>614</v>
      </c>
      <c r="F182" s="2" t="s">
        <v>113</v>
      </c>
      <c r="G182" s="65">
        <v>45889</v>
      </c>
      <c r="H182" s="65">
        <v>46253</v>
      </c>
      <c r="I182" s="66">
        <f ca="1">(Table26[[#This Row],[Ref Date]]-Table26[[#This Row],[Service Start Date ]])/35</f>
        <v>1.3142857142857143</v>
      </c>
      <c r="J182" s="66">
        <f>COUNTIF(Table26[[#This Row],[2025 October
Actual]:[2024 January 
Done by 2]],"&gt;=" &amp;Table26[[#This Row],[Service Start Date ]])</f>
        <v>1</v>
      </c>
      <c r="K182" s="66">
        <f ca="1">Table26[[#This Row],[Actual Services
to be done]]-Table26[[#This Row],[Completed Services]]</f>
        <v>0.31428571428571428</v>
      </c>
      <c r="L182" s="64" t="s">
        <v>119</v>
      </c>
      <c r="M182" s="67">
        <f ca="1">B182-U182</f>
        <v>46</v>
      </c>
      <c r="N182" s="65">
        <f ca="1">((B182+(-M182+35-5)))</f>
        <v>45919</v>
      </c>
      <c r="O182" s="65"/>
      <c r="P182" s="65"/>
      <c r="Q182" s="65"/>
      <c r="R182" s="65"/>
      <c r="S182" s="65"/>
      <c r="T182" s="65"/>
      <c r="U182" s="65">
        <v>45889</v>
      </c>
      <c r="V182" s="65" t="s">
        <v>618</v>
      </c>
      <c r="W182" s="65"/>
      <c r="X182" s="65"/>
      <c r="Y182" s="65"/>
      <c r="Z182" s="65"/>
      <c r="AA182" s="65">
        <v>45815</v>
      </c>
      <c r="AB182" s="65" t="s">
        <v>615</v>
      </c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</row>
    <row r="183" spans="1:80" ht="22" customHeight="1" x14ac:dyDescent="0.2">
      <c r="A183" s="53" t="s">
        <v>37</v>
      </c>
      <c r="B183" s="98">
        <f ca="1">TODAY()</f>
        <v>45935</v>
      </c>
      <c r="C183" s="69" t="s">
        <v>546</v>
      </c>
      <c r="D183" s="68" t="s">
        <v>306</v>
      </c>
      <c r="E183" s="127" t="s">
        <v>41</v>
      </c>
      <c r="F183" s="2" t="s">
        <v>113</v>
      </c>
      <c r="G183" s="100">
        <v>45862</v>
      </c>
      <c r="H183" s="100">
        <v>46226</v>
      </c>
      <c r="I183" s="66">
        <f ca="1">(Table26[[#This Row],[Ref Date]]-Table26[[#This Row],[Service Start Date ]])/35</f>
        <v>2.0857142857142859</v>
      </c>
      <c r="J183" s="66">
        <f>COUNTIF(Table26[[#This Row],[2025 October
Actual]:[2024 January 
Done by 2]],"&gt;=" &amp;Table26[[#This Row],[Service Start Date ]])</f>
        <v>2</v>
      </c>
      <c r="K183" s="101">
        <f ca="1">Table26[[#This Row],[Actual Services
to be done]]-Table26[[#This Row],[Completed Services]]</f>
        <v>8.5714285714285854E-2</v>
      </c>
      <c r="L183" s="99" t="s">
        <v>119</v>
      </c>
      <c r="M183" s="67">
        <f ca="1">B183-R183</f>
        <v>29</v>
      </c>
      <c r="N183" s="65">
        <f ca="1">((B183+(-M183+35)))</f>
        <v>45941</v>
      </c>
      <c r="O183" s="65"/>
      <c r="P183" s="65"/>
      <c r="Q183" s="65"/>
      <c r="R183" s="65">
        <v>45906</v>
      </c>
      <c r="S183" s="65" t="s">
        <v>618</v>
      </c>
      <c r="T183" s="65" t="s">
        <v>617</v>
      </c>
      <c r="U183" s="65"/>
      <c r="V183" s="65"/>
      <c r="W183" s="65"/>
      <c r="X183" s="100">
        <v>45868</v>
      </c>
      <c r="Y183" s="100" t="s">
        <v>620</v>
      </c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0"/>
      <c r="BK183" s="100"/>
      <c r="BL183" s="100"/>
      <c r="BM183" s="100"/>
      <c r="BN183" s="100"/>
      <c r="BO183" s="100"/>
      <c r="BP183" s="100"/>
      <c r="BQ183" s="100"/>
      <c r="BR183" s="100"/>
      <c r="BS183" s="100"/>
      <c r="BT183" s="100"/>
      <c r="BU183" s="100"/>
      <c r="BV183" s="100"/>
      <c r="BW183" s="100"/>
      <c r="BX183" s="100"/>
      <c r="BY183" s="100"/>
      <c r="BZ183" s="100"/>
      <c r="CA183" s="100"/>
      <c r="CB183" s="100"/>
    </row>
    <row r="184" spans="1:80" ht="22" customHeight="1" x14ac:dyDescent="0.2">
      <c r="A184" s="53" t="s">
        <v>37</v>
      </c>
      <c r="B184" s="63">
        <f ca="1">TODAY()</f>
        <v>45935</v>
      </c>
      <c r="C184" s="69" t="s">
        <v>549</v>
      </c>
      <c r="D184" s="68" t="s">
        <v>263</v>
      </c>
      <c r="E184" s="126" t="s">
        <v>34</v>
      </c>
      <c r="F184" s="2" t="s">
        <v>112</v>
      </c>
      <c r="G184" s="65">
        <v>45839</v>
      </c>
      <c r="H184" s="65">
        <v>46203</v>
      </c>
      <c r="I184" s="66">
        <f ca="1">(Table26[[#This Row],[Ref Date]]-Table26[[#This Row],[Service Start Date ]])/35</f>
        <v>2.7428571428571429</v>
      </c>
      <c r="J184" s="66">
        <f>COUNTIF(Table26[[#This Row],[2025 October
Actual]:[2024 January 
Done by 2]],"&gt;=" &amp;Table26[[#This Row],[Service Start Date ]])</f>
        <v>3</v>
      </c>
      <c r="K184" s="66">
        <f ca="1">Table26[[#This Row],[Actual Services
to be done]]-Table26[[#This Row],[Completed Services]]</f>
        <v>-0.25714285714285712</v>
      </c>
      <c r="L184" s="64" t="s">
        <v>119</v>
      </c>
      <c r="M184" s="67">
        <f ca="1">B184-O184</f>
        <v>2</v>
      </c>
      <c r="N184" s="65">
        <f ca="1">((B184+(-M184+35-10)))</f>
        <v>45958</v>
      </c>
      <c r="O184" s="65">
        <v>45933</v>
      </c>
      <c r="P184" s="65" t="s">
        <v>620</v>
      </c>
      <c r="Q184" s="65"/>
      <c r="R184" s="65">
        <v>45916</v>
      </c>
      <c r="S184" s="65" t="s">
        <v>620</v>
      </c>
      <c r="T184" s="65"/>
      <c r="U184" s="65"/>
      <c r="V184" s="65"/>
      <c r="W184" s="65"/>
      <c r="X184" s="65">
        <v>45841</v>
      </c>
      <c r="Y184" s="65" t="s">
        <v>620</v>
      </c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</row>
    <row r="185" spans="1:80" ht="22" customHeight="1" x14ac:dyDescent="0.2">
      <c r="A185" s="53" t="s">
        <v>159</v>
      </c>
      <c r="B185" s="98">
        <f ca="1">TODAY()</f>
        <v>45935</v>
      </c>
      <c r="C185" s="69" t="s">
        <v>601</v>
      </c>
      <c r="D185" s="68" t="s">
        <v>234</v>
      </c>
      <c r="E185" s="99" t="s">
        <v>41</v>
      </c>
      <c r="F185" s="2" t="s">
        <v>113</v>
      </c>
      <c r="G185" s="100">
        <v>45809</v>
      </c>
      <c r="H185" s="100">
        <v>46173</v>
      </c>
      <c r="I185" s="101">
        <f ca="1">(Table26[[#This Row],[Ref Date]]-Table26[[#This Row],[Service Start Date ]])/35</f>
        <v>3.6</v>
      </c>
      <c r="J185" s="66">
        <f>COUNTIF(Table26[[#This Row],[2025 October
Actual]:[2024 January 
Done by 2]],"&gt;=" &amp;Table26[[#This Row],[Service Start Date ]])</f>
        <v>3</v>
      </c>
      <c r="K185" s="101">
        <f ca="1">Table26[[#This Row],[Actual Services
to be done]]-Table26[[#This Row],[Completed Services]]</f>
        <v>0.60000000000000009</v>
      </c>
      <c r="L185" s="99" t="s">
        <v>119</v>
      </c>
      <c r="M185" s="67">
        <f ca="1">B185-O185</f>
        <v>2</v>
      </c>
      <c r="N185" s="65">
        <f ca="1">((B185+(-M185+35-10)))</f>
        <v>45958</v>
      </c>
      <c r="O185" s="65">
        <v>45933</v>
      </c>
      <c r="P185" s="65" t="s">
        <v>620</v>
      </c>
      <c r="Q185" s="65"/>
      <c r="R185" s="65">
        <v>45906</v>
      </c>
      <c r="S185" s="65" t="s">
        <v>620</v>
      </c>
      <c r="T185" s="65"/>
      <c r="U185" s="65"/>
      <c r="V185" s="65"/>
      <c r="W185" s="65"/>
      <c r="X185" s="100">
        <v>45860</v>
      </c>
      <c r="Y185" s="100" t="s">
        <v>620</v>
      </c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  <c r="BH185" s="100"/>
      <c r="BI185" s="100"/>
      <c r="BJ185" s="100"/>
      <c r="BK185" s="100"/>
      <c r="BL185" s="100"/>
      <c r="BM185" s="100"/>
      <c r="BN185" s="100"/>
      <c r="BO185" s="100"/>
      <c r="BP185" s="100"/>
      <c r="BQ185" s="100"/>
      <c r="BR185" s="100"/>
      <c r="BS185" s="100"/>
      <c r="BT185" s="100"/>
      <c r="BU185" s="100"/>
      <c r="BV185" s="100"/>
      <c r="BW185" s="100"/>
      <c r="BX185" s="100"/>
      <c r="BY185" s="100"/>
      <c r="BZ185" s="100"/>
      <c r="CA185" s="100"/>
      <c r="CB185" s="100"/>
    </row>
    <row r="186" spans="1:80" ht="22" customHeight="1" x14ac:dyDescent="0.2">
      <c r="A186" s="53" t="s">
        <v>37</v>
      </c>
      <c r="B186" s="63">
        <f ca="1">TODAY()</f>
        <v>45935</v>
      </c>
      <c r="C186" s="69" t="s">
        <v>483</v>
      </c>
      <c r="D186" s="68" t="s">
        <v>296</v>
      </c>
      <c r="E186" s="64" t="s">
        <v>32</v>
      </c>
      <c r="F186" s="2" t="s">
        <v>111</v>
      </c>
      <c r="G186" s="65">
        <v>45839</v>
      </c>
      <c r="H186" s="65">
        <v>46203</v>
      </c>
      <c r="I186" s="66">
        <f ca="1">(Table26[[#This Row],[Ref Date]]-Table26[[#This Row],[Service Start Date ]])/60</f>
        <v>1.6</v>
      </c>
      <c r="J186" s="66">
        <f>COUNTIF(Table26[[#This Row],[2025 October
Actual]:[2024 January 
Done by 2]],"&gt;=" &amp;Table26[[#This Row],[Service Start Date ]])</f>
        <v>1</v>
      </c>
      <c r="K186" s="66">
        <f ca="1">Table26[[#This Row],[Actual Services
to be done]]-Table26[[#This Row],[Completed Services]]</f>
        <v>0.60000000000000009</v>
      </c>
      <c r="L186" s="64" t="s">
        <v>118</v>
      </c>
      <c r="M186" s="67">
        <f ca="1">B186-X186</f>
        <v>89</v>
      </c>
      <c r="N186" s="65">
        <f ca="1">((B186+(-M186+60-10)))</f>
        <v>45896</v>
      </c>
      <c r="O186" s="65"/>
      <c r="P186" s="65"/>
      <c r="Q186" s="65"/>
      <c r="R186" s="65"/>
      <c r="S186" s="65"/>
      <c r="T186" s="65"/>
      <c r="U186" s="65"/>
      <c r="V186" s="65"/>
      <c r="W186" s="65"/>
      <c r="X186" s="65">
        <v>45846</v>
      </c>
      <c r="Y186" s="65" t="s">
        <v>621</v>
      </c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</row>
    <row r="187" spans="1:80" ht="22" customHeight="1" x14ac:dyDescent="0.2">
      <c r="A187" s="53" t="s">
        <v>37</v>
      </c>
      <c r="B187" s="63">
        <f ca="1">TODAY()</f>
        <v>45935</v>
      </c>
      <c r="C187" s="69" t="s">
        <v>552</v>
      </c>
      <c r="D187" s="68" t="s">
        <v>249</v>
      </c>
      <c r="E187" s="64" t="s">
        <v>217</v>
      </c>
      <c r="F187" s="2" t="s">
        <v>112</v>
      </c>
      <c r="G187" s="65">
        <v>45931</v>
      </c>
      <c r="H187" s="65">
        <v>47026</v>
      </c>
      <c r="I187" s="66">
        <f ca="1">(Table26[[#This Row],[Ref Date]]-Table26[[#This Row],[Service Start Date ]])/35</f>
        <v>0.11428571428571428</v>
      </c>
      <c r="J187" s="66">
        <f>COUNTIF(Table26[[#This Row],[2025 October
Actual]:[2024 January 
Done by 2]],"&gt;=" &amp;Table26[[#This Row],[Service Start Date ]])</f>
        <v>0</v>
      </c>
      <c r="K187" s="66">
        <f ca="1">Table26[[#This Row],[Actual Services
to be done]]-Table26[[#This Row],[Completed Services]]</f>
        <v>0.11428571428571428</v>
      </c>
      <c r="L187" s="64" t="s">
        <v>119</v>
      </c>
      <c r="M187" s="67">
        <f ca="1">B187-R187</f>
        <v>34</v>
      </c>
      <c r="N187" s="65">
        <f ca="1">((B187+(-M187+35)))</f>
        <v>45936</v>
      </c>
      <c r="O187" s="65"/>
      <c r="P187" s="65"/>
      <c r="Q187" s="65"/>
      <c r="R187" s="65">
        <v>45901</v>
      </c>
      <c r="S187" s="65" t="s">
        <v>621</v>
      </c>
      <c r="T187" s="65" t="s">
        <v>617</v>
      </c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</row>
    <row r="188" spans="1:80" ht="22" customHeight="1" x14ac:dyDescent="0.2">
      <c r="A188" s="53" t="s">
        <v>37</v>
      </c>
      <c r="B188" s="63">
        <f ca="1">TODAY()</f>
        <v>45935</v>
      </c>
      <c r="C188" s="69" t="s">
        <v>554</v>
      </c>
      <c r="D188" s="68" t="s">
        <v>382</v>
      </c>
      <c r="E188" s="64" t="s">
        <v>14</v>
      </c>
      <c r="F188" s="2" t="s">
        <v>112</v>
      </c>
      <c r="G188" s="65">
        <v>45901</v>
      </c>
      <c r="H188" s="65">
        <v>46265</v>
      </c>
      <c r="I188" s="66">
        <f ca="1">(Table26[[#This Row],[Ref Date]]-Table26[[#This Row],[Service Start Date ]])/35</f>
        <v>0.97142857142857142</v>
      </c>
      <c r="J188" s="66">
        <f>COUNTIF(Table26[[#This Row],[2025 October
Actual]:[2024 January 
Done by 2]],"&gt;=" &amp;Table26[[#This Row],[Service Start Date ]])</f>
        <v>1</v>
      </c>
      <c r="K188" s="66">
        <f ca="1">Table26[[#This Row],[Actual Services
to be done]]-Table26[[#This Row],[Completed Services]]</f>
        <v>-2.8571428571428581E-2</v>
      </c>
      <c r="L188" s="64" t="s">
        <v>119</v>
      </c>
      <c r="M188" s="67">
        <f ca="1">B188-R188</f>
        <v>6</v>
      </c>
      <c r="N188" s="65">
        <f ca="1">((B188+(-M188+35)))</f>
        <v>45964</v>
      </c>
      <c r="O188" s="65"/>
      <c r="P188" s="65"/>
      <c r="Q188" s="65"/>
      <c r="R188" s="65">
        <v>45929</v>
      </c>
      <c r="S188" s="65" t="s">
        <v>618</v>
      </c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</row>
    <row r="189" spans="1:80" ht="22" customHeight="1" x14ac:dyDescent="0.2">
      <c r="A189" s="53" t="s">
        <v>37</v>
      </c>
      <c r="B189" s="98">
        <f ca="1">TODAY()</f>
        <v>45935</v>
      </c>
      <c r="C189" s="69" t="s">
        <v>500</v>
      </c>
      <c r="D189" s="68" t="s">
        <v>381</v>
      </c>
      <c r="E189" s="127" t="s">
        <v>208</v>
      </c>
      <c r="F189" s="2" t="s">
        <v>113</v>
      </c>
      <c r="G189" s="100">
        <v>45870</v>
      </c>
      <c r="H189" s="100">
        <v>46234</v>
      </c>
      <c r="I189" s="101">
        <f ca="1">(Table26[[#This Row],[Ref Date]]-Table26[[#This Row],[Service Start Date ]])/60</f>
        <v>1.0833333333333333</v>
      </c>
      <c r="J189" s="66">
        <f>COUNTIF(Table26[[#This Row],[2025 October
Actual]:[2024 January 
Done by 2]],"&gt;=" &amp;Table26[[#This Row],[Service Start Date ]])</f>
        <v>1</v>
      </c>
      <c r="K189" s="101">
        <f ca="1">Table26[[#This Row],[Actual Services
to be done]]-Table26[[#This Row],[Completed Services]]</f>
        <v>8.3333333333333259E-2</v>
      </c>
      <c r="L189" s="99" t="s">
        <v>119</v>
      </c>
      <c r="M189" s="67">
        <f ca="1">B189-R189</f>
        <v>24</v>
      </c>
      <c r="N189" s="65">
        <f ca="1">((B189+(-M189+35)))</f>
        <v>45946</v>
      </c>
      <c r="O189" s="65"/>
      <c r="P189" s="65"/>
      <c r="Q189" s="65"/>
      <c r="R189" s="65">
        <v>45911</v>
      </c>
      <c r="S189" s="65" t="s">
        <v>618</v>
      </c>
      <c r="T189" s="65"/>
      <c r="U189" s="65"/>
      <c r="V189" s="65"/>
      <c r="W189" s="65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00"/>
      <c r="BR189" s="100"/>
      <c r="BS189" s="100"/>
      <c r="BT189" s="100"/>
      <c r="BU189" s="100"/>
      <c r="BV189" s="100"/>
      <c r="BW189" s="100"/>
      <c r="BX189" s="100"/>
      <c r="BY189" s="100"/>
      <c r="BZ189" s="100"/>
      <c r="CA189" s="100"/>
      <c r="CB189" s="100"/>
    </row>
    <row r="190" spans="1:80" ht="22" customHeight="1" x14ac:dyDescent="0.2">
      <c r="A190" s="53" t="s">
        <v>37</v>
      </c>
      <c r="B190" s="98">
        <f ca="1">TODAY()</f>
        <v>45935</v>
      </c>
      <c r="C190" s="69" t="s">
        <v>550</v>
      </c>
      <c r="D190" s="68" t="s">
        <v>410</v>
      </c>
      <c r="E190" s="127" t="s">
        <v>212</v>
      </c>
      <c r="F190" s="2" t="s">
        <v>113</v>
      </c>
      <c r="G190" s="100">
        <v>45870</v>
      </c>
      <c r="H190" s="100">
        <v>46234</v>
      </c>
      <c r="I190" s="101">
        <f ca="1">(Table26[[#This Row],[Ref Date]]-Table26[[#This Row],[Service Start Date ]])/35</f>
        <v>1.8571428571428572</v>
      </c>
      <c r="J190" s="66">
        <f>COUNTIF(Table26[[#This Row],[2025 October
Actual]:[2024 January 
Done by 2]],"&gt;=" &amp;Table26[[#This Row],[Service Start Date ]])</f>
        <v>2</v>
      </c>
      <c r="K190" s="101">
        <f ca="1">Table26[[#This Row],[Actual Services
to be done]]-Table26[[#This Row],[Completed Services]]</f>
        <v>-0.14285714285714279</v>
      </c>
      <c r="L190" s="99" t="s">
        <v>119</v>
      </c>
      <c r="M190" s="67">
        <f ca="1">B190-R190</f>
        <v>18</v>
      </c>
      <c r="N190" s="65">
        <f ca="1">((B190+(-M190+35)))</f>
        <v>45952</v>
      </c>
      <c r="O190" s="65"/>
      <c r="P190" s="65"/>
      <c r="Q190" s="65"/>
      <c r="R190" s="65">
        <v>45917</v>
      </c>
      <c r="S190" s="65" t="s">
        <v>620</v>
      </c>
      <c r="T190" s="65"/>
      <c r="U190" s="100">
        <v>45871</v>
      </c>
      <c r="V190" s="100" t="s">
        <v>620</v>
      </c>
      <c r="W190" s="100" t="s">
        <v>617</v>
      </c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0"/>
      <c r="BL190" s="100"/>
      <c r="BM190" s="100"/>
      <c r="BN190" s="100"/>
      <c r="BO190" s="100"/>
      <c r="BP190" s="100"/>
      <c r="BQ190" s="100"/>
      <c r="BR190" s="100"/>
      <c r="BS190" s="100"/>
      <c r="BT190" s="100"/>
      <c r="BU190" s="100"/>
      <c r="BV190" s="100"/>
      <c r="BW190" s="100"/>
      <c r="BX190" s="100"/>
      <c r="BY190" s="100"/>
      <c r="BZ190" s="100"/>
      <c r="CA190" s="100"/>
      <c r="CB190" s="100"/>
    </row>
    <row r="191" spans="1:80" ht="22" customHeight="1" x14ac:dyDescent="0.2">
      <c r="A191" s="53" t="s">
        <v>37</v>
      </c>
      <c r="B191" s="63">
        <f ca="1">TODAY()</f>
        <v>45935</v>
      </c>
      <c r="C191" s="69" t="s">
        <v>553</v>
      </c>
      <c r="D191" s="68" t="s">
        <v>377</v>
      </c>
      <c r="E191" s="64" t="s">
        <v>27</v>
      </c>
      <c r="F191" s="2" t="s">
        <v>112</v>
      </c>
      <c r="G191" s="65">
        <v>45901</v>
      </c>
      <c r="H191" s="65">
        <v>46265</v>
      </c>
      <c r="I191" s="66">
        <f ca="1">(Table26[[#This Row],[Ref Date]]-Table26[[#This Row],[Service Start Date ]])/35</f>
        <v>0.97142857142857142</v>
      </c>
      <c r="J191" s="66">
        <f>COUNTIF(Table26[[#This Row],[2025 October
Actual]:[2024 January 
Done by 2]],"&gt;=" &amp;Table26[[#This Row],[Service Start Date ]])</f>
        <v>1</v>
      </c>
      <c r="K191" s="66">
        <f ca="1">Table26[[#This Row],[Actual Services
to be done]]-Table26[[#This Row],[Completed Services]]</f>
        <v>-2.8571428571428581E-2</v>
      </c>
      <c r="L191" s="64" t="s">
        <v>119</v>
      </c>
      <c r="M191" s="67">
        <f ca="1">B191-O191</f>
        <v>2</v>
      </c>
      <c r="N191" s="65">
        <f ca="1">((B191+(-M191+35-10)))</f>
        <v>45958</v>
      </c>
      <c r="O191" s="65">
        <v>45933</v>
      </c>
      <c r="P191" s="65" t="s">
        <v>620</v>
      </c>
      <c r="Q191" s="65" t="s">
        <v>617</v>
      </c>
      <c r="R191" s="65"/>
      <c r="S191" s="65"/>
      <c r="T191" s="65"/>
      <c r="U191" s="65">
        <v>45899</v>
      </c>
      <c r="V191" s="65" t="s">
        <v>617</v>
      </c>
      <c r="W191" s="65" t="s">
        <v>213</v>
      </c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</row>
    <row r="192" spans="1:80" ht="22" customHeight="1" x14ac:dyDescent="0.2">
      <c r="A192" s="53" t="s">
        <v>220</v>
      </c>
      <c r="B192" s="63">
        <f ca="1">TODAY()</f>
        <v>45935</v>
      </c>
      <c r="C192" s="69" t="s">
        <v>543</v>
      </c>
      <c r="D192" s="68" t="s">
        <v>315</v>
      </c>
      <c r="E192" s="126" t="s">
        <v>157</v>
      </c>
      <c r="F192" s="2" t="s">
        <v>112</v>
      </c>
      <c r="G192" s="65">
        <v>45749</v>
      </c>
      <c r="H192" s="65">
        <v>46113</v>
      </c>
      <c r="I192" s="66"/>
      <c r="J192" s="66"/>
      <c r="K192" s="66"/>
      <c r="L192" s="64" t="s">
        <v>119</v>
      </c>
      <c r="M192" s="67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</row>
    <row r="193" spans="1:80" ht="22" customHeight="1" x14ac:dyDescent="0.2">
      <c r="A193" s="53" t="s">
        <v>37</v>
      </c>
      <c r="B193" s="63">
        <f ca="1">TODAY()</f>
        <v>45935</v>
      </c>
      <c r="C193" s="69" t="s">
        <v>551</v>
      </c>
      <c r="D193" s="68" t="s">
        <v>391</v>
      </c>
      <c r="E193" s="64" t="s">
        <v>207</v>
      </c>
      <c r="F193" s="2" t="s">
        <v>112</v>
      </c>
      <c r="G193" s="65">
        <v>45840</v>
      </c>
      <c r="H193" s="65">
        <v>46204</v>
      </c>
      <c r="I193" s="66">
        <f ca="1">(Table26[[#This Row],[Ref Date]]-Table26[[#This Row],[Service Start Date ]])/35</f>
        <v>2.7142857142857144</v>
      </c>
      <c r="J193" s="66">
        <f>COUNTIF(Table26[[#This Row],[2025 October
Actual]:[2024 January 
Done by 2]],"&gt;=" &amp;Table26[[#This Row],[Service Start Date ]])</f>
        <v>1</v>
      </c>
      <c r="K193" s="66">
        <f ca="1">Table26[[#This Row],[Actual Services
to be done]]-Table26[[#This Row],[Completed Services]]</f>
        <v>1.7142857142857144</v>
      </c>
      <c r="L193" s="64" t="s">
        <v>119</v>
      </c>
      <c r="M193" s="67">
        <f ca="1">B193-U193</f>
        <v>45</v>
      </c>
      <c r="N193" s="65">
        <f ca="1">((B193+(-M193+35-10)))</f>
        <v>45915</v>
      </c>
      <c r="O193" s="65"/>
      <c r="P193" s="65"/>
      <c r="Q193" s="65"/>
      <c r="R193" s="65"/>
      <c r="S193" s="65"/>
      <c r="T193" s="65"/>
      <c r="U193" s="65">
        <v>45890</v>
      </c>
      <c r="V193" s="65" t="s">
        <v>618</v>
      </c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</row>
    <row r="194" spans="1:80" ht="22" customHeight="1" x14ac:dyDescent="0.2">
      <c r="A194" s="53" t="s">
        <v>159</v>
      </c>
      <c r="B194" s="63">
        <f ca="1">TODAY()</f>
        <v>45935</v>
      </c>
      <c r="C194" s="69" t="s">
        <v>599</v>
      </c>
      <c r="D194" s="68" t="s">
        <v>229</v>
      </c>
      <c r="E194" s="64" t="s">
        <v>192</v>
      </c>
      <c r="F194" s="2" t="s">
        <v>113</v>
      </c>
      <c r="G194" s="65">
        <v>45749</v>
      </c>
      <c r="H194" s="65">
        <v>46113</v>
      </c>
      <c r="I194" s="66">
        <f ca="1">(Table26[[#This Row],[Ref Date]]-Table26[[#This Row],[Service Start Date ]])/35</f>
        <v>5.3142857142857141</v>
      </c>
      <c r="J194" s="66">
        <f>COUNTIF(Table26[[#This Row],[2025 October
Actual]:[2024 January 
Done by 2]],"&gt;=" &amp;Table26[[#This Row],[Service Start Date ]])</f>
        <v>0</v>
      </c>
      <c r="K194" s="66">
        <f ca="1">Table26[[#This Row],[Actual Services
to be done]]-Table26[[#This Row],[Completed Services]]</f>
        <v>5.3142857142857141</v>
      </c>
      <c r="L194" s="64" t="s">
        <v>119</v>
      </c>
      <c r="M194" s="67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</row>
    <row r="195" spans="1:80" ht="22" customHeight="1" x14ac:dyDescent="0.2">
      <c r="A195" s="53" t="s">
        <v>159</v>
      </c>
      <c r="B195" s="63">
        <f ca="1">TODAY()</f>
        <v>45935</v>
      </c>
      <c r="C195" s="69" t="s">
        <v>611</v>
      </c>
      <c r="D195" s="68" t="s">
        <v>304</v>
      </c>
      <c r="E195" s="64" t="s">
        <v>2</v>
      </c>
      <c r="F195" s="2" t="s">
        <v>113</v>
      </c>
      <c r="G195" s="65">
        <v>45689</v>
      </c>
      <c r="H195" s="65">
        <v>46053</v>
      </c>
      <c r="I195" s="66">
        <v>5</v>
      </c>
      <c r="J195" s="66">
        <f>COUNTIF(Table26[[#This Row],[2025 October
Actual]:[2024 January 
Done by 2]],"&gt;=" &amp;Table26[[#This Row],[Service Start Date ]])</f>
        <v>1</v>
      </c>
      <c r="K195" s="66">
        <f>Table26[[#This Row],[Actual Services
to be done]]-Table26[[#This Row],[Completed Services]]</f>
        <v>4</v>
      </c>
      <c r="L195" s="64" t="s">
        <v>119</v>
      </c>
      <c r="M195" s="67">
        <f ca="1">B195-U195</f>
        <v>58</v>
      </c>
      <c r="N195" s="65">
        <f ca="1">((B195+(-M195+35-10)))</f>
        <v>45902</v>
      </c>
      <c r="O195" s="65"/>
      <c r="P195" s="65"/>
      <c r="Q195" s="65"/>
      <c r="R195" s="65"/>
      <c r="S195" s="65"/>
      <c r="T195" s="65"/>
      <c r="U195" s="65">
        <v>45877</v>
      </c>
      <c r="V195" s="65" t="s">
        <v>618</v>
      </c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</row>
    <row r="196" spans="1:80" ht="22" customHeight="1" x14ac:dyDescent="0.2">
      <c r="A196" s="53" t="s">
        <v>220</v>
      </c>
      <c r="B196" s="63">
        <f ca="1">TODAY()</f>
        <v>45935</v>
      </c>
      <c r="C196" s="69" t="s">
        <v>590</v>
      </c>
      <c r="D196" s="68" t="s">
        <v>362</v>
      </c>
      <c r="E196" s="64" t="s">
        <v>158</v>
      </c>
      <c r="F196" s="2" t="s">
        <v>113</v>
      </c>
      <c r="G196" s="65">
        <v>45930</v>
      </c>
      <c r="H196" s="65">
        <v>46294</v>
      </c>
      <c r="I196" s="66"/>
      <c r="J196" s="66"/>
      <c r="K196" s="66"/>
      <c r="L196" s="64" t="s">
        <v>119</v>
      </c>
      <c r="M196" s="67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</row>
    <row r="197" spans="1:80" ht="22" customHeight="1" x14ac:dyDescent="0.2">
      <c r="A197" s="53" t="s">
        <v>220</v>
      </c>
      <c r="B197" s="63">
        <f ca="1">TODAY()</f>
        <v>45935</v>
      </c>
      <c r="C197" s="69" t="s">
        <v>591</v>
      </c>
      <c r="D197" s="68" t="s">
        <v>363</v>
      </c>
      <c r="E197" s="64" t="s">
        <v>158</v>
      </c>
      <c r="F197" s="2" t="s">
        <v>113</v>
      </c>
      <c r="G197" s="65">
        <v>45930</v>
      </c>
      <c r="H197" s="65">
        <v>46295</v>
      </c>
      <c r="I197" s="66"/>
      <c r="J197" s="66"/>
      <c r="K197" s="66"/>
      <c r="L197" s="64" t="s">
        <v>119</v>
      </c>
      <c r="M197" s="67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</row>
    <row r="202" spans="1:80" x14ac:dyDescent="0.2">
      <c r="C202" s="88" t="s">
        <v>37</v>
      </c>
      <c r="D202" s="90">
        <f>COUNTIF(A:A,C202)</f>
        <v>147</v>
      </c>
      <c r="E202" s="51" t="s">
        <v>619</v>
      </c>
      <c r="F202" s="81">
        <f>COUNTIF(Table26[Route],"Technician 3")</f>
        <v>0</v>
      </c>
    </row>
    <row r="203" spans="1:80" x14ac:dyDescent="0.2">
      <c r="C203" s="88" t="s">
        <v>159</v>
      </c>
      <c r="D203" s="90">
        <f>COUNTIF(A:A,C203)</f>
        <v>10</v>
      </c>
      <c r="E203" s="51" t="s">
        <v>616</v>
      </c>
      <c r="F203" s="81">
        <f>COUNTIF(Table26[Route],"Technician 1")</f>
        <v>0</v>
      </c>
    </row>
    <row r="204" spans="1:80" x14ac:dyDescent="0.2">
      <c r="C204" s="89" t="s">
        <v>38</v>
      </c>
      <c r="D204" s="90">
        <f>COUNTIF(A:A,C204)</f>
        <v>26</v>
      </c>
      <c r="E204" s="51" t="s">
        <v>113</v>
      </c>
      <c r="F204" s="81">
        <f>COUNTIF(Table26[Route],"3")</f>
        <v>0</v>
      </c>
    </row>
    <row r="205" spans="1:80" x14ac:dyDescent="0.2">
      <c r="C205" s="88" t="s">
        <v>33</v>
      </c>
      <c r="D205" s="90">
        <f>COUNTIF(A:A,C205)</f>
        <v>1</v>
      </c>
      <c r="E205" s="51" t="s">
        <v>114</v>
      </c>
      <c r="F205" s="81">
        <f>COUNTIF(Table26[Route],"4")</f>
        <v>0</v>
      </c>
    </row>
    <row r="206" spans="1:80" ht="16" x14ac:dyDescent="0.2">
      <c r="C206" s="88" t="s">
        <v>35</v>
      </c>
      <c r="D206" s="90">
        <f>COUNTIF(A:A,C206)</f>
        <v>8</v>
      </c>
      <c r="E206" s="75" t="s">
        <v>119</v>
      </c>
      <c r="F206" s="81">
        <f>COUNTIF(L:L,E206)</f>
        <v>144</v>
      </c>
      <c r="G206" s="51">
        <f>F206*10</f>
        <v>1440</v>
      </c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</row>
    <row r="207" spans="1:80" ht="16" x14ac:dyDescent="0.2">
      <c r="E207" s="75" t="s">
        <v>118</v>
      </c>
      <c r="F207" s="81">
        <f>COUNTIF(L:L,E207)</f>
        <v>48</v>
      </c>
      <c r="G207" s="51">
        <f>F207*6</f>
        <v>288</v>
      </c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</row>
    <row r="208" spans="1:80" ht="17" thickBot="1" x14ac:dyDescent="0.25">
      <c r="E208" s="86" t="s">
        <v>120</v>
      </c>
      <c r="F208" s="81">
        <f>COUNTIF(L:L,E208)</f>
        <v>3</v>
      </c>
      <c r="G208" s="51">
        <f>F208*9</f>
        <v>27</v>
      </c>
    </row>
    <row r="209" spans="5:65" x14ac:dyDescent="0.2">
      <c r="E209" s="51" t="s">
        <v>132</v>
      </c>
      <c r="G209" s="51">
        <f>SUM(G206:G208)</f>
        <v>1755</v>
      </c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</row>
    <row r="210" spans="5:65" x14ac:dyDescent="0.2">
      <c r="E210" s="51" t="s">
        <v>131</v>
      </c>
      <c r="G210" s="51">
        <f>G209/12</f>
        <v>146.25</v>
      </c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</row>
    <row r="378" spans="12:12" x14ac:dyDescent="0.2">
      <c r="L378" s="51">
        <v>19</v>
      </c>
    </row>
  </sheetData>
  <phoneticPr fontId="35" type="noConversion"/>
  <hyperlinks>
    <hyperlink ref="A2" r:id="rId1" xr:uid="{00000000-0004-0000-0300-000004000000}"/>
  </hyperlinks>
  <printOptions horizontalCentered="1" verticalCentered="1"/>
  <pageMargins left="0.2" right="0.2" top="0.25" bottom="0.25" header="0.3" footer="0.3"/>
  <pageSetup scale="62" fitToHeight="2" orientation="portrait" r:id="rId2"/>
  <headerFooter>
    <oddFooter>&amp;C&amp;"Tahoma,Regular"&amp;9&amp;K000000&amp;N</oddFooter>
  </headerFooter>
  <rowBreaks count="4" manualBreakCount="4">
    <brk id="38" max="15" man="1"/>
    <brk id="72" max="15" man="1"/>
    <brk id="105" max="15" man="1"/>
    <brk id="179" max="15" man="1"/>
  </rowBreaks>
  <drawing r:id="rId3"/>
  <legacy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E41"/>
  <sheetViews>
    <sheetView topLeftCell="A2" workbookViewId="0">
      <selection activeCell="J10" sqref="J10"/>
    </sheetView>
  </sheetViews>
  <sheetFormatPr baseColWidth="10" defaultColWidth="8.83203125" defaultRowHeight="15" x14ac:dyDescent="0.2"/>
  <cols>
    <col min="1" max="1" width="5" bestFit="1" customWidth="1"/>
    <col min="2" max="2" width="41.83203125" customWidth="1"/>
    <col min="3" max="3" width="22" customWidth="1"/>
    <col min="4" max="4" width="13.6640625" customWidth="1"/>
    <col min="5" max="5" width="12.83203125" customWidth="1"/>
    <col min="256" max="256" width="5" bestFit="1" customWidth="1"/>
    <col min="257" max="257" width="41.83203125" customWidth="1"/>
    <col min="258" max="258" width="13.83203125" customWidth="1"/>
    <col min="259" max="259" width="13.6640625" customWidth="1"/>
    <col min="260" max="260" width="12.83203125" customWidth="1"/>
    <col min="512" max="512" width="5" bestFit="1" customWidth="1"/>
    <col min="513" max="513" width="41.83203125" customWidth="1"/>
    <col min="514" max="514" width="13.83203125" customWidth="1"/>
    <col min="515" max="515" width="13.6640625" customWidth="1"/>
    <col min="516" max="516" width="12.83203125" customWidth="1"/>
    <col min="768" max="768" width="5" bestFit="1" customWidth="1"/>
    <col min="769" max="769" width="41.83203125" customWidth="1"/>
    <col min="770" max="770" width="13.83203125" customWidth="1"/>
    <col min="771" max="771" width="13.6640625" customWidth="1"/>
    <col min="772" max="772" width="12.83203125" customWidth="1"/>
    <col min="1024" max="1024" width="5" bestFit="1" customWidth="1"/>
    <col min="1025" max="1025" width="41.83203125" customWidth="1"/>
    <col min="1026" max="1026" width="13.83203125" customWidth="1"/>
    <col min="1027" max="1027" width="13.6640625" customWidth="1"/>
    <col min="1028" max="1028" width="12.83203125" customWidth="1"/>
    <col min="1280" max="1280" width="5" bestFit="1" customWidth="1"/>
    <col min="1281" max="1281" width="41.83203125" customWidth="1"/>
    <col min="1282" max="1282" width="13.83203125" customWidth="1"/>
    <col min="1283" max="1283" width="13.6640625" customWidth="1"/>
    <col min="1284" max="1284" width="12.83203125" customWidth="1"/>
    <col min="1536" max="1536" width="5" bestFit="1" customWidth="1"/>
    <col min="1537" max="1537" width="41.83203125" customWidth="1"/>
    <col min="1538" max="1538" width="13.83203125" customWidth="1"/>
    <col min="1539" max="1539" width="13.6640625" customWidth="1"/>
    <col min="1540" max="1540" width="12.83203125" customWidth="1"/>
    <col min="1792" max="1792" width="5" bestFit="1" customWidth="1"/>
    <col min="1793" max="1793" width="41.83203125" customWidth="1"/>
    <col min="1794" max="1794" width="13.83203125" customWidth="1"/>
    <col min="1795" max="1795" width="13.6640625" customWidth="1"/>
    <col min="1796" max="1796" width="12.83203125" customWidth="1"/>
    <col min="2048" max="2048" width="5" bestFit="1" customWidth="1"/>
    <col min="2049" max="2049" width="41.83203125" customWidth="1"/>
    <col min="2050" max="2050" width="13.83203125" customWidth="1"/>
    <col min="2051" max="2051" width="13.6640625" customWidth="1"/>
    <col min="2052" max="2052" width="12.83203125" customWidth="1"/>
    <col min="2304" max="2304" width="5" bestFit="1" customWidth="1"/>
    <col min="2305" max="2305" width="41.83203125" customWidth="1"/>
    <col min="2306" max="2306" width="13.83203125" customWidth="1"/>
    <col min="2307" max="2307" width="13.6640625" customWidth="1"/>
    <col min="2308" max="2308" width="12.83203125" customWidth="1"/>
    <col min="2560" max="2560" width="5" bestFit="1" customWidth="1"/>
    <col min="2561" max="2561" width="41.83203125" customWidth="1"/>
    <col min="2562" max="2562" width="13.83203125" customWidth="1"/>
    <col min="2563" max="2563" width="13.6640625" customWidth="1"/>
    <col min="2564" max="2564" width="12.83203125" customWidth="1"/>
    <col min="2816" max="2816" width="5" bestFit="1" customWidth="1"/>
    <col min="2817" max="2817" width="41.83203125" customWidth="1"/>
    <col min="2818" max="2818" width="13.83203125" customWidth="1"/>
    <col min="2819" max="2819" width="13.6640625" customWidth="1"/>
    <col min="2820" max="2820" width="12.83203125" customWidth="1"/>
    <col min="3072" max="3072" width="5" bestFit="1" customWidth="1"/>
    <col min="3073" max="3073" width="41.83203125" customWidth="1"/>
    <col min="3074" max="3074" width="13.83203125" customWidth="1"/>
    <col min="3075" max="3075" width="13.6640625" customWidth="1"/>
    <col min="3076" max="3076" width="12.83203125" customWidth="1"/>
    <col min="3328" max="3328" width="5" bestFit="1" customWidth="1"/>
    <col min="3329" max="3329" width="41.83203125" customWidth="1"/>
    <col min="3330" max="3330" width="13.83203125" customWidth="1"/>
    <col min="3331" max="3331" width="13.6640625" customWidth="1"/>
    <col min="3332" max="3332" width="12.83203125" customWidth="1"/>
    <col min="3584" max="3584" width="5" bestFit="1" customWidth="1"/>
    <col min="3585" max="3585" width="41.83203125" customWidth="1"/>
    <col min="3586" max="3586" width="13.83203125" customWidth="1"/>
    <col min="3587" max="3587" width="13.6640625" customWidth="1"/>
    <col min="3588" max="3588" width="12.83203125" customWidth="1"/>
    <col min="3840" max="3840" width="5" bestFit="1" customWidth="1"/>
    <col min="3841" max="3841" width="41.83203125" customWidth="1"/>
    <col min="3842" max="3842" width="13.83203125" customWidth="1"/>
    <col min="3843" max="3843" width="13.6640625" customWidth="1"/>
    <col min="3844" max="3844" width="12.83203125" customWidth="1"/>
    <col min="4096" max="4096" width="5" bestFit="1" customWidth="1"/>
    <col min="4097" max="4097" width="41.83203125" customWidth="1"/>
    <col min="4098" max="4098" width="13.83203125" customWidth="1"/>
    <col min="4099" max="4099" width="13.6640625" customWidth="1"/>
    <col min="4100" max="4100" width="12.83203125" customWidth="1"/>
    <col min="4352" max="4352" width="5" bestFit="1" customWidth="1"/>
    <col min="4353" max="4353" width="41.83203125" customWidth="1"/>
    <col min="4354" max="4354" width="13.83203125" customWidth="1"/>
    <col min="4355" max="4355" width="13.6640625" customWidth="1"/>
    <col min="4356" max="4356" width="12.83203125" customWidth="1"/>
    <col min="4608" max="4608" width="5" bestFit="1" customWidth="1"/>
    <col min="4609" max="4609" width="41.83203125" customWidth="1"/>
    <col min="4610" max="4610" width="13.83203125" customWidth="1"/>
    <col min="4611" max="4611" width="13.6640625" customWidth="1"/>
    <col min="4612" max="4612" width="12.83203125" customWidth="1"/>
    <col min="4864" max="4864" width="5" bestFit="1" customWidth="1"/>
    <col min="4865" max="4865" width="41.83203125" customWidth="1"/>
    <col min="4866" max="4866" width="13.83203125" customWidth="1"/>
    <col min="4867" max="4867" width="13.6640625" customWidth="1"/>
    <col min="4868" max="4868" width="12.83203125" customWidth="1"/>
    <col min="5120" max="5120" width="5" bestFit="1" customWidth="1"/>
    <col min="5121" max="5121" width="41.83203125" customWidth="1"/>
    <col min="5122" max="5122" width="13.83203125" customWidth="1"/>
    <col min="5123" max="5123" width="13.6640625" customWidth="1"/>
    <col min="5124" max="5124" width="12.83203125" customWidth="1"/>
    <col min="5376" max="5376" width="5" bestFit="1" customWidth="1"/>
    <col min="5377" max="5377" width="41.83203125" customWidth="1"/>
    <col min="5378" max="5378" width="13.83203125" customWidth="1"/>
    <col min="5379" max="5379" width="13.6640625" customWidth="1"/>
    <col min="5380" max="5380" width="12.83203125" customWidth="1"/>
    <col min="5632" max="5632" width="5" bestFit="1" customWidth="1"/>
    <col min="5633" max="5633" width="41.83203125" customWidth="1"/>
    <col min="5634" max="5634" width="13.83203125" customWidth="1"/>
    <col min="5635" max="5635" width="13.6640625" customWidth="1"/>
    <col min="5636" max="5636" width="12.83203125" customWidth="1"/>
    <col min="5888" max="5888" width="5" bestFit="1" customWidth="1"/>
    <col min="5889" max="5889" width="41.83203125" customWidth="1"/>
    <col min="5890" max="5890" width="13.83203125" customWidth="1"/>
    <col min="5891" max="5891" width="13.6640625" customWidth="1"/>
    <col min="5892" max="5892" width="12.83203125" customWidth="1"/>
    <col min="6144" max="6144" width="5" bestFit="1" customWidth="1"/>
    <col min="6145" max="6145" width="41.83203125" customWidth="1"/>
    <col min="6146" max="6146" width="13.83203125" customWidth="1"/>
    <col min="6147" max="6147" width="13.6640625" customWidth="1"/>
    <col min="6148" max="6148" width="12.83203125" customWidth="1"/>
    <col min="6400" max="6400" width="5" bestFit="1" customWidth="1"/>
    <col min="6401" max="6401" width="41.83203125" customWidth="1"/>
    <col min="6402" max="6402" width="13.83203125" customWidth="1"/>
    <col min="6403" max="6403" width="13.6640625" customWidth="1"/>
    <col min="6404" max="6404" width="12.83203125" customWidth="1"/>
    <col min="6656" max="6656" width="5" bestFit="1" customWidth="1"/>
    <col min="6657" max="6657" width="41.83203125" customWidth="1"/>
    <col min="6658" max="6658" width="13.83203125" customWidth="1"/>
    <col min="6659" max="6659" width="13.6640625" customWidth="1"/>
    <col min="6660" max="6660" width="12.83203125" customWidth="1"/>
    <col min="6912" max="6912" width="5" bestFit="1" customWidth="1"/>
    <col min="6913" max="6913" width="41.83203125" customWidth="1"/>
    <col min="6914" max="6914" width="13.83203125" customWidth="1"/>
    <col min="6915" max="6915" width="13.6640625" customWidth="1"/>
    <col min="6916" max="6916" width="12.83203125" customWidth="1"/>
    <col min="7168" max="7168" width="5" bestFit="1" customWidth="1"/>
    <col min="7169" max="7169" width="41.83203125" customWidth="1"/>
    <col min="7170" max="7170" width="13.83203125" customWidth="1"/>
    <col min="7171" max="7171" width="13.6640625" customWidth="1"/>
    <col min="7172" max="7172" width="12.83203125" customWidth="1"/>
    <col min="7424" max="7424" width="5" bestFit="1" customWidth="1"/>
    <col min="7425" max="7425" width="41.83203125" customWidth="1"/>
    <col min="7426" max="7426" width="13.83203125" customWidth="1"/>
    <col min="7427" max="7427" width="13.6640625" customWidth="1"/>
    <col min="7428" max="7428" width="12.83203125" customWidth="1"/>
    <col min="7680" max="7680" width="5" bestFit="1" customWidth="1"/>
    <col min="7681" max="7681" width="41.83203125" customWidth="1"/>
    <col min="7682" max="7682" width="13.83203125" customWidth="1"/>
    <col min="7683" max="7683" width="13.6640625" customWidth="1"/>
    <col min="7684" max="7684" width="12.83203125" customWidth="1"/>
    <col min="7936" max="7936" width="5" bestFit="1" customWidth="1"/>
    <col min="7937" max="7937" width="41.83203125" customWidth="1"/>
    <col min="7938" max="7938" width="13.83203125" customWidth="1"/>
    <col min="7939" max="7939" width="13.6640625" customWidth="1"/>
    <col min="7940" max="7940" width="12.83203125" customWidth="1"/>
    <col min="8192" max="8192" width="5" bestFit="1" customWidth="1"/>
    <col min="8193" max="8193" width="41.83203125" customWidth="1"/>
    <col min="8194" max="8194" width="13.83203125" customWidth="1"/>
    <col min="8195" max="8195" width="13.6640625" customWidth="1"/>
    <col min="8196" max="8196" width="12.83203125" customWidth="1"/>
    <col min="8448" max="8448" width="5" bestFit="1" customWidth="1"/>
    <col min="8449" max="8449" width="41.83203125" customWidth="1"/>
    <col min="8450" max="8450" width="13.83203125" customWidth="1"/>
    <col min="8451" max="8451" width="13.6640625" customWidth="1"/>
    <col min="8452" max="8452" width="12.83203125" customWidth="1"/>
    <col min="8704" max="8704" width="5" bestFit="1" customWidth="1"/>
    <col min="8705" max="8705" width="41.83203125" customWidth="1"/>
    <col min="8706" max="8706" width="13.83203125" customWidth="1"/>
    <col min="8707" max="8707" width="13.6640625" customWidth="1"/>
    <col min="8708" max="8708" width="12.83203125" customWidth="1"/>
    <col min="8960" max="8960" width="5" bestFit="1" customWidth="1"/>
    <col min="8961" max="8961" width="41.83203125" customWidth="1"/>
    <col min="8962" max="8962" width="13.83203125" customWidth="1"/>
    <col min="8963" max="8963" width="13.6640625" customWidth="1"/>
    <col min="8964" max="8964" width="12.83203125" customWidth="1"/>
    <col min="9216" max="9216" width="5" bestFit="1" customWidth="1"/>
    <col min="9217" max="9217" width="41.83203125" customWidth="1"/>
    <col min="9218" max="9218" width="13.83203125" customWidth="1"/>
    <col min="9219" max="9219" width="13.6640625" customWidth="1"/>
    <col min="9220" max="9220" width="12.83203125" customWidth="1"/>
    <col min="9472" max="9472" width="5" bestFit="1" customWidth="1"/>
    <col min="9473" max="9473" width="41.83203125" customWidth="1"/>
    <col min="9474" max="9474" width="13.83203125" customWidth="1"/>
    <col min="9475" max="9475" width="13.6640625" customWidth="1"/>
    <col min="9476" max="9476" width="12.83203125" customWidth="1"/>
    <col min="9728" max="9728" width="5" bestFit="1" customWidth="1"/>
    <col min="9729" max="9729" width="41.83203125" customWidth="1"/>
    <col min="9730" max="9730" width="13.83203125" customWidth="1"/>
    <col min="9731" max="9731" width="13.6640625" customWidth="1"/>
    <col min="9732" max="9732" width="12.83203125" customWidth="1"/>
    <col min="9984" max="9984" width="5" bestFit="1" customWidth="1"/>
    <col min="9985" max="9985" width="41.83203125" customWidth="1"/>
    <col min="9986" max="9986" width="13.83203125" customWidth="1"/>
    <col min="9987" max="9987" width="13.6640625" customWidth="1"/>
    <col min="9988" max="9988" width="12.83203125" customWidth="1"/>
    <col min="10240" max="10240" width="5" bestFit="1" customWidth="1"/>
    <col min="10241" max="10241" width="41.83203125" customWidth="1"/>
    <col min="10242" max="10242" width="13.83203125" customWidth="1"/>
    <col min="10243" max="10243" width="13.6640625" customWidth="1"/>
    <col min="10244" max="10244" width="12.83203125" customWidth="1"/>
    <col min="10496" max="10496" width="5" bestFit="1" customWidth="1"/>
    <col min="10497" max="10497" width="41.83203125" customWidth="1"/>
    <col min="10498" max="10498" width="13.83203125" customWidth="1"/>
    <col min="10499" max="10499" width="13.6640625" customWidth="1"/>
    <col min="10500" max="10500" width="12.83203125" customWidth="1"/>
    <col min="10752" max="10752" width="5" bestFit="1" customWidth="1"/>
    <col min="10753" max="10753" width="41.83203125" customWidth="1"/>
    <col min="10754" max="10754" width="13.83203125" customWidth="1"/>
    <col min="10755" max="10755" width="13.6640625" customWidth="1"/>
    <col min="10756" max="10756" width="12.83203125" customWidth="1"/>
    <col min="11008" max="11008" width="5" bestFit="1" customWidth="1"/>
    <col min="11009" max="11009" width="41.83203125" customWidth="1"/>
    <col min="11010" max="11010" width="13.83203125" customWidth="1"/>
    <col min="11011" max="11011" width="13.6640625" customWidth="1"/>
    <col min="11012" max="11012" width="12.83203125" customWidth="1"/>
    <col min="11264" max="11264" width="5" bestFit="1" customWidth="1"/>
    <col min="11265" max="11265" width="41.83203125" customWidth="1"/>
    <col min="11266" max="11266" width="13.83203125" customWidth="1"/>
    <col min="11267" max="11267" width="13.6640625" customWidth="1"/>
    <col min="11268" max="11268" width="12.83203125" customWidth="1"/>
    <col min="11520" max="11520" width="5" bestFit="1" customWidth="1"/>
    <col min="11521" max="11521" width="41.83203125" customWidth="1"/>
    <col min="11522" max="11522" width="13.83203125" customWidth="1"/>
    <col min="11523" max="11523" width="13.6640625" customWidth="1"/>
    <col min="11524" max="11524" width="12.83203125" customWidth="1"/>
    <col min="11776" max="11776" width="5" bestFit="1" customWidth="1"/>
    <col min="11777" max="11777" width="41.83203125" customWidth="1"/>
    <col min="11778" max="11778" width="13.83203125" customWidth="1"/>
    <col min="11779" max="11779" width="13.6640625" customWidth="1"/>
    <col min="11780" max="11780" width="12.83203125" customWidth="1"/>
    <col min="12032" max="12032" width="5" bestFit="1" customWidth="1"/>
    <col min="12033" max="12033" width="41.83203125" customWidth="1"/>
    <col min="12034" max="12034" width="13.83203125" customWidth="1"/>
    <col min="12035" max="12035" width="13.6640625" customWidth="1"/>
    <col min="12036" max="12036" width="12.83203125" customWidth="1"/>
    <col min="12288" max="12288" width="5" bestFit="1" customWidth="1"/>
    <col min="12289" max="12289" width="41.83203125" customWidth="1"/>
    <col min="12290" max="12290" width="13.83203125" customWidth="1"/>
    <col min="12291" max="12291" width="13.6640625" customWidth="1"/>
    <col min="12292" max="12292" width="12.83203125" customWidth="1"/>
    <col min="12544" max="12544" width="5" bestFit="1" customWidth="1"/>
    <col min="12545" max="12545" width="41.83203125" customWidth="1"/>
    <col min="12546" max="12546" width="13.83203125" customWidth="1"/>
    <col min="12547" max="12547" width="13.6640625" customWidth="1"/>
    <col min="12548" max="12548" width="12.83203125" customWidth="1"/>
    <col min="12800" max="12800" width="5" bestFit="1" customWidth="1"/>
    <col min="12801" max="12801" width="41.83203125" customWidth="1"/>
    <col min="12802" max="12802" width="13.83203125" customWidth="1"/>
    <col min="12803" max="12803" width="13.6640625" customWidth="1"/>
    <col min="12804" max="12804" width="12.83203125" customWidth="1"/>
    <col min="13056" max="13056" width="5" bestFit="1" customWidth="1"/>
    <col min="13057" max="13057" width="41.83203125" customWidth="1"/>
    <col min="13058" max="13058" width="13.83203125" customWidth="1"/>
    <col min="13059" max="13059" width="13.6640625" customWidth="1"/>
    <col min="13060" max="13060" width="12.83203125" customWidth="1"/>
    <col min="13312" max="13312" width="5" bestFit="1" customWidth="1"/>
    <col min="13313" max="13313" width="41.83203125" customWidth="1"/>
    <col min="13314" max="13314" width="13.83203125" customWidth="1"/>
    <col min="13315" max="13315" width="13.6640625" customWidth="1"/>
    <col min="13316" max="13316" width="12.83203125" customWidth="1"/>
    <col min="13568" max="13568" width="5" bestFit="1" customWidth="1"/>
    <col min="13569" max="13569" width="41.83203125" customWidth="1"/>
    <col min="13570" max="13570" width="13.83203125" customWidth="1"/>
    <col min="13571" max="13571" width="13.6640625" customWidth="1"/>
    <col min="13572" max="13572" width="12.83203125" customWidth="1"/>
    <col min="13824" max="13824" width="5" bestFit="1" customWidth="1"/>
    <col min="13825" max="13825" width="41.83203125" customWidth="1"/>
    <col min="13826" max="13826" width="13.83203125" customWidth="1"/>
    <col min="13827" max="13827" width="13.6640625" customWidth="1"/>
    <col min="13828" max="13828" width="12.83203125" customWidth="1"/>
    <col min="14080" max="14080" width="5" bestFit="1" customWidth="1"/>
    <col min="14081" max="14081" width="41.83203125" customWidth="1"/>
    <col min="14082" max="14082" width="13.83203125" customWidth="1"/>
    <col min="14083" max="14083" width="13.6640625" customWidth="1"/>
    <col min="14084" max="14084" width="12.83203125" customWidth="1"/>
    <col min="14336" max="14336" width="5" bestFit="1" customWidth="1"/>
    <col min="14337" max="14337" width="41.83203125" customWidth="1"/>
    <col min="14338" max="14338" width="13.83203125" customWidth="1"/>
    <col min="14339" max="14339" width="13.6640625" customWidth="1"/>
    <col min="14340" max="14340" width="12.83203125" customWidth="1"/>
    <col min="14592" max="14592" width="5" bestFit="1" customWidth="1"/>
    <col min="14593" max="14593" width="41.83203125" customWidth="1"/>
    <col min="14594" max="14594" width="13.83203125" customWidth="1"/>
    <col min="14595" max="14595" width="13.6640625" customWidth="1"/>
    <col min="14596" max="14596" width="12.83203125" customWidth="1"/>
    <col min="14848" max="14848" width="5" bestFit="1" customWidth="1"/>
    <col min="14849" max="14849" width="41.83203125" customWidth="1"/>
    <col min="14850" max="14850" width="13.83203125" customWidth="1"/>
    <col min="14851" max="14851" width="13.6640625" customWidth="1"/>
    <col min="14852" max="14852" width="12.83203125" customWidth="1"/>
    <col min="15104" max="15104" width="5" bestFit="1" customWidth="1"/>
    <col min="15105" max="15105" width="41.83203125" customWidth="1"/>
    <col min="15106" max="15106" width="13.83203125" customWidth="1"/>
    <col min="15107" max="15107" width="13.6640625" customWidth="1"/>
    <col min="15108" max="15108" width="12.83203125" customWidth="1"/>
    <col min="15360" max="15360" width="5" bestFit="1" customWidth="1"/>
    <col min="15361" max="15361" width="41.83203125" customWidth="1"/>
    <col min="15362" max="15362" width="13.83203125" customWidth="1"/>
    <col min="15363" max="15363" width="13.6640625" customWidth="1"/>
    <col min="15364" max="15364" width="12.83203125" customWidth="1"/>
    <col min="15616" max="15616" width="5" bestFit="1" customWidth="1"/>
    <col min="15617" max="15617" width="41.83203125" customWidth="1"/>
    <col min="15618" max="15618" width="13.83203125" customWidth="1"/>
    <col min="15619" max="15619" width="13.6640625" customWidth="1"/>
    <col min="15620" max="15620" width="12.83203125" customWidth="1"/>
    <col min="15872" max="15872" width="5" bestFit="1" customWidth="1"/>
    <col min="15873" max="15873" width="41.83203125" customWidth="1"/>
    <col min="15874" max="15874" width="13.83203125" customWidth="1"/>
    <col min="15875" max="15875" width="13.6640625" customWidth="1"/>
    <col min="15876" max="15876" width="12.83203125" customWidth="1"/>
    <col min="16128" max="16128" width="5" bestFit="1" customWidth="1"/>
    <col min="16129" max="16129" width="41.83203125" customWidth="1"/>
    <col min="16130" max="16130" width="13.83203125" customWidth="1"/>
    <col min="16131" max="16131" width="13.6640625" customWidth="1"/>
    <col min="16132" max="16132" width="12.83203125" customWidth="1"/>
  </cols>
  <sheetData>
    <row r="1" spans="1:5" ht="20.25" customHeight="1" thickTop="1" x14ac:dyDescent="0.2">
      <c r="A1" s="109" t="s">
        <v>94</v>
      </c>
      <c r="B1" s="110"/>
      <c r="C1" s="110"/>
      <c r="D1" s="110"/>
      <c r="E1" s="111"/>
    </row>
    <row r="2" spans="1:5" ht="14.25" customHeight="1" x14ac:dyDescent="0.2">
      <c r="A2" s="112"/>
      <c r="B2" s="113"/>
      <c r="C2" s="113"/>
      <c r="D2" s="113"/>
      <c r="E2" s="114"/>
    </row>
    <row r="3" spans="1:5" ht="15" customHeight="1" x14ac:dyDescent="0.2">
      <c r="A3" s="112"/>
      <c r="B3" s="113"/>
      <c r="C3" s="113"/>
      <c r="D3" s="113"/>
      <c r="E3" s="114"/>
    </row>
    <row r="4" spans="1:5" ht="45" customHeight="1" thickBot="1" x14ac:dyDescent="0.25">
      <c r="A4" s="115"/>
      <c r="B4" s="116"/>
      <c r="C4" s="116"/>
      <c r="D4" s="116"/>
      <c r="E4" s="117"/>
    </row>
    <row r="5" spans="1:5" ht="23" thickBot="1" x14ac:dyDescent="0.25">
      <c r="A5" s="3" t="s">
        <v>57</v>
      </c>
      <c r="B5" s="4"/>
      <c r="D5" s="5" t="s">
        <v>55</v>
      </c>
      <c r="E5" s="6"/>
    </row>
    <row r="6" spans="1:5" ht="22" thickBot="1" x14ac:dyDescent="0.25">
      <c r="A6" s="7"/>
      <c r="B6" s="4"/>
      <c r="D6" s="8" t="s">
        <v>56</v>
      </c>
      <c r="E6" s="9"/>
    </row>
    <row r="7" spans="1:5" ht="16.5" customHeight="1" thickBot="1" x14ac:dyDescent="0.25">
      <c r="A7" s="10"/>
      <c r="B7" s="4"/>
      <c r="C7" s="11"/>
      <c r="D7" s="12"/>
      <c r="E7" s="13"/>
    </row>
    <row r="8" spans="1:5" ht="31" thickBot="1" x14ac:dyDescent="0.25">
      <c r="A8" s="14" t="s">
        <v>58</v>
      </c>
      <c r="B8" s="118" t="s">
        <v>59</v>
      </c>
      <c r="C8" s="119"/>
      <c r="D8" s="15" t="s">
        <v>36</v>
      </c>
      <c r="E8" s="16" t="s">
        <v>60</v>
      </c>
    </row>
    <row r="9" spans="1:5" x14ac:dyDescent="0.2">
      <c r="A9" s="17">
        <v>1</v>
      </c>
      <c r="B9" s="120" t="s">
        <v>61</v>
      </c>
      <c r="C9" s="121"/>
      <c r="D9" s="18"/>
      <c r="E9" s="19"/>
    </row>
    <row r="10" spans="1:5" x14ac:dyDescent="0.2">
      <c r="A10" s="20">
        <v>2</v>
      </c>
      <c r="B10" s="104" t="s">
        <v>62</v>
      </c>
      <c r="C10" s="105"/>
      <c r="D10" s="21"/>
      <c r="E10" s="22"/>
    </row>
    <row r="11" spans="1:5" x14ac:dyDescent="0.2">
      <c r="A11" s="20">
        <v>3</v>
      </c>
      <c r="B11" s="104" t="s">
        <v>63</v>
      </c>
      <c r="C11" s="105"/>
      <c r="D11" s="21"/>
      <c r="E11" s="22"/>
    </row>
    <row r="12" spans="1:5" x14ac:dyDescent="0.2">
      <c r="A12" s="20">
        <v>4</v>
      </c>
      <c r="B12" s="104" t="s">
        <v>64</v>
      </c>
      <c r="C12" s="105"/>
      <c r="D12" s="21"/>
      <c r="E12" s="22"/>
    </row>
    <row r="13" spans="1:5" x14ac:dyDescent="0.2">
      <c r="A13" s="20">
        <v>5</v>
      </c>
      <c r="B13" s="104" t="s">
        <v>65</v>
      </c>
      <c r="C13" s="105"/>
      <c r="D13" s="21"/>
      <c r="E13" s="22"/>
    </row>
    <row r="14" spans="1:5" x14ac:dyDescent="0.2">
      <c r="A14" s="20">
        <v>6</v>
      </c>
      <c r="B14" s="104" t="s">
        <v>66</v>
      </c>
      <c r="C14" s="105"/>
      <c r="D14" s="21"/>
      <c r="E14" s="22"/>
    </row>
    <row r="15" spans="1:5" x14ac:dyDescent="0.2">
      <c r="A15" s="20">
        <v>7</v>
      </c>
      <c r="B15" s="104" t="s">
        <v>67</v>
      </c>
      <c r="C15" s="105"/>
      <c r="D15" s="21"/>
      <c r="E15" s="22"/>
    </row>
    <row r="16" spans="1:5" x14ac:dyDescent="0.2">
      <c r="A16" s="23">
        <v>8</v>
      </c>
      <c r="B16" s="104" t="s">
        <v>68</v>
      </c>
      <c r="C16" s="105"/>
      <c r="D16" s="21"/>
      <c r="E16" s="22"/>
    </row>
    <row r="17" spans="1:5" x14ac:dyDescent="0.2">
      <c r="A17" s="20">
        <v>9</v>
      </c>
      <c r="B17" s="104" t="s">
        <v>69</v>
      </c>
      <c r="C17" s="105"/>
      <c r="D17" s="21"/>
      <c r="E17" s="22"/>
    </row>
    <row r="18" spans="1:5" x14ac:dyDescent="0.2">
      <c r="A18" s="20">
        <v>10</v>
      </c>
      <c r="B18" s="104" t="s">
        <v>70</v>
      </c>
      <c r="C18" s="105"/>
      <c r="D18" s="21"/>
      <c r="E18" s="22"/>
    </row>
    <row r="19" spans="1:5" x14ac:dyDescent="0.2">
      <c r="A19" s="20">
        <v>11</v>
      </c>
      <c r="B19" s="104" t="s">
        <v>71</v>
      </c>
      <c r="C19" s="105"/>
      <c r="D19" s="21"/>
      <c r="E19" s="22"/>
    </row>
    <row r="20" spans="1:5" x14ac:dyDescent="0.2">
      <c r="A20" s="20">
        <v>12</v>
      </c>
      <c r="B20" s="104" t="s">
        <v>72</v>
      </c>
      <c r="C20" s="105"/>
      <c r="D20" s="21"/>
      <c r="E20" s="22"/>
    </row>
    <row r="21" spans="1:5" x14ac:dyDescent="0.2">
      <c r="A21" s="20">
        <v>13</v>
      </c>
      <c r="B21" s="104" t="s">
        <v>73</v>
      </c>
      <c r="C21" s="105"/>
      <c r="D21" s="21"/>
      <c r="E21" s="22"/>
    </row>
    <row r="22" spans="1:5" x14ac:dyDescent="0.2">
      <c r="A22" s="20">
        <v>14</v>
      </c>
      <c r="B22" s="104" t="s">
        <v>74</v>
      </c>
      <c r="C22" s="105"/>
      <c r="D22" s="21"/>
      <c r="E22" s="22"/>
    </row>
    <row r="23" spans="1:5" x14ac:dyDescent="0.2">
      <c r="A23" s="24">
        <v>15</v>
      </c>
      <c r="B23" s="106" t="s">
        <v>75</v>
      </c>
      <c r="C23" s="107"/>
      <c r="D23" s="25"/>
      <c r="E23" s="26"/>
    </row>
    <row r="24" spans="1:5" ht="16" thickBot="1" x14ac:dyDescent="0.25">
      <c r="A24" s="27">
        <v>16</v>
      </c>
      <c r="B24" s="108" t="s">
        <v>76</v>
      </c>
      <c r="C24" s="108"/>
      <c r="D24" s="28"/>
      <c r="E24" s="29"/>
    </row>
    <row r="25" spans="1:5" ht="57.75" customHeight="1" thickBot="1" x14ac:dyDescent="0.25">
      <c r="A25" s="30"/>
      <c r="B25" s="103" t="s">
        <v>77</v>
      </c>
      <c r="C25" s="103"/>
      <c r="D25" s="31"/>
      <c r="E25" s="32"/>
    </row>
    <row r="26" spans="1:5" x14ac:dyDescent="0.2">
      <c r="A26" s="33"/>
      <c r="B26" s="34" t="s">
        <v>78</v>
      </c>
      <c r="C26" s="35"/>
      <c r="D26" s="36"/>
      <c r="E26" s="37"/>
    </row>
    <row r="27" spans="1:5" x14ac:dyDescent="0.2">
      <c r="A27" s="38"/>
      <c r="B27" s="39"/>
      <c r="D27" s="39"/>
      <c r="E27" s="40"/>
    </row>
    <row r="28" spans="1:5" x14ac:dyDescent="0.2">
      <c r="A28" s="38"/>
      <c r="B28" s="39"/>
      <c r="D28" s="39"/>
      <c r="E28" s="40"/>
    </row>
    <row r="29" spans="1:5" x14ac:dyDescent="0.2">
      <c r="A29" s="38"/>
      <c r="B29" s="39"/>
      <c r="D29" s="39"/>
      <c r="E29" s="40"/>
    </row>
    <row r="30" spans="1:5" x14ac:dyDescent="0.2">
      <c r="A30" s="38"/>
      <c r="B30" s="39"/>
      <c r="D30" s="39"/>
      <c r="E30" s="40"/>
    </row>
    <row r="31" spans="1:5" x14ac:dyDescent="0.2">
      <c r="A31" s="38"/>
      <c r="B31" s="39"/>
      <c r="D31" s="39"/>
      <c r="E31" s="40"/>
    </row>
    <row r="32" spans="1:5" ht="16" thickBot="1" x14ac:dyDescent="0.25">
      <c r="A32" s="41"/>
      <c r="B32" s="42"/>
      <c r="C32" s="11"/>
      <c r="D32" s="42"/>
      <c r="E32" s="43"/>
    </row>
    <row r="33" spans="1:5" x14ac:dyDescent="0.2">
      <c r="A33" s="33"/>
      <c r="B33" s="34" t="s">
        <v>79</v>
      </c>
      <c r="C33" s="35"/>
      <c r="D33" s="36"/>
      <c r="E33" s="37"/>
    </row>
    <row r="34" spans="1:5" x14ac:dyDescent="0.2">
      <c r="A34" s="38"/>
      <c r="E34" s="44"/>
    </row>
    <row r="35" spans="1:5" x14ac:dyDescent="0.2">
      <c r="A35" s="7"/>
      <c r="E35" s="44"/>
    </row>
    <row r="36" spans="1:5" x14ac:dyDescent="0.2">
      <c r="A36" s="7"/>
      <c r="E36" s="44"/>
    </row>
    <row r="37" spans="1:5" x14ac:dyDescent="0.2">
      <c r="A37" s="7"/>
      <c r="E37" s="44"/>
    </row>
    <row r="38" spans="1:5" x14ac:dyDescent="0.2">
      <c r="A38" s="7"/>
      <c r="E38" s="44"/>
    </row>
    <row r="39" spans="1:5" x14ac:dyDescent="0.2">
      <c r="A39" s="7"/>
      <c r="D39" s="50" t="s">
        <v>80</v>
      </c>
      <c r="E39" s="44"/>
    </row>
    <row r="40" spans="1:5" ht="16" thickBot="1" x14ac:dyDescent="0.25">
      <c r="A40" s="45"/>
      <c r="B40" s="46" t="s">
        <v>81</v>
      </c>
      <c r="C40" s="47" t="s">
        <v>83</v>
      </c>
      <c r="D40" s="48"/>
      <c r="E40" s="49"/>
    </row>
    <row r="41" spans="1:5" ht="16" thickTop="1" x14ac:dyDescent="0.2"/>
  </sheetData>
  <mergeCells count="19">
    <mergeCell ref="B18:C18"/>
    <mergeCell ref="A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19:C19"/>
    <mergeCell ref="B20:C20"/>
    <mergeCell ref="B21:C21"/>
    <mergeCell ref="B22:C22"/>
    <mergeCell ref="B23:C23"/>
    <mergeCell ref="B24:C24"/>
  </mergeCells>
  <printOptions horizontalCentered="1" verticalCentered="1"/>
  <pageMargins left="0.2" right="0.2" top="0.75" bottom="0.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0"/>
  <sheetViews>
    <sheetView view="pageBreakPreview" topLeftCell="A23" zoomScale="120" zoomScaleNormal="100" zoomScaleSheetLayoutView="120" workbookViewId="0">
      <selection activeCell="K70" sqref="K70"/>
    </sheetView>
  </sheetViews>
  <sheetFormatPr baseColWidth="10" defaultColWidth="8.83203125" defaultRowHeight="15" x14ac:dyDescent="0.2"/>
  <cols>
    <col min="1" max="1" width="3.1640625" customWidth="1"/>
    <col min="2" max="2" width="7.6640625" bestFit="1" customWidth="1"/>
    <col min="3" max="3" width="10" customWidth="1"/>
    <col min="4" max="4" width="49.1640625" customWidth="1"/>
    <col min="5" max="5" width="13.5" customWidth="1"/>
  </cols>
  <sheetData>
    <row r="1" spans="1:6" ht="76.5" customHeight="1" x14ac:dyDescent="0.2">
      <c r="A1" s="123" t="s">
        <v>121</v>
      </c>
      <c r="B1" s="124"/>
      <c r="C1" s="124"/>
      <c r="D1" s="124"/>
      <c r="E1" s="124"/>
      <c r="F1" s="124"/>
    </row>
    <row r="2" spans="1:6" x14ac:dyDescent="0.2">
      <c r="A2" s="125" t="s">
        <v>122</v>
      </c>
      <c r="B2" s="125"/>
      <c r="C2" s="125"/>
      <c r="D2" s="125"/>
      <c r="E2" s="125"/>
      <c r="F2" s="125"/>
    </row>
    <row r="3" spans="1:6" x14ac:dyDescent="0.2">
      <c r="A3" s="122" t="s">
        <v>123</v>
      </c>
      <c r="B3" s="122"/>
      <c r="C3" s="122"/>
      <c r="D3" s="122"/>
      <c r="E3" s="122" t="s">
        <v>54</v>
      </c>
      <c r="F3" s="122"/>
    </row>
    <row r="4" spans="1:6" x14ac:dyDescent="0.2">
      <c r="A4" s="122" t="s">
        <v>124</v>
      </c>
      <c r="B4" s="122"/>
      <c r="C4" s="122"/>
      <c r="D4" s="122"/>
      <c r="E4" s="122"/>
      <c r="F4" s="122"/>
    </row>
    <row r="5" spans="1:6" ht="31.5" customHeight="1" x14ac:dyDescent="0.2">
      <c r="A5" s="84" t="s">
        <v>130</v>
      </c>
      <c r="B5" s="84" t="s">
        <v>127</v>
      </c>
      <c r="C5" s="84" t="s">
        <v>128</v>
      </c>
      <c r="D5" s="83" t="s">
        <v>125</v>
      </c>
      <c r="E5" s="84" t="s">
        <v>129</v>
      </c>
      <c r="F5" s="83" t="s">
        <v>126</v>
      </c>
    </row>
    <row r="6" spans="1:6" ht="45" customHeight="1" x14ac:dyDescent="0.2">
      <c r="A6" s="1">
        <v>1</v>
      </c>
      <c r="B6" s="1"/>
      <c r="C6" s="1"/>
      <c r="D6" s="1"/>
      <c r="E6" s="1"/>
      <c r="F6" s="1"/>
    </row>
    <row r="7" spans="1:6" ht="45" customHeight="1" x14ac:dyDescent="0.2">
      <c r="A7" s="1">
        <v>2</v>
      </c>
      <c r="B7" s="1"/>
      <c r="C7" s="1"/>
      <c r="D7" s="1"/>
      <c r="E7" s="1"/>
      <c r="F7" s="1"/>
    </row>
    <row r="8" spans="1:6" ht="45" customHeight="1" x14ac:dyDescent="0.2">
      <c r="A8" s="1">
        <v>3</v>
      </c>
      <c r="B8" s="1"/>
      <c r="C8" s="1"/>
      <c r="D8" s="1"/>
      <c r="E8" s="1"/>
      <c r="F8" s="1"/>
    </row>
    <row r="9" spans="1:6" ht="45" customHeight="1" x14ac:dyDescent="0.2">
      <c r="A9" s="1">
        <v>4</v>
      </c>
      <c r="B9" s="1"/>
      <c r="C9" s="1"/>
      <c r="D9" s="1"/>
      <c r="E9" s="1"/>
      <c r="F9" s="1"/>
    </row>
    <row r="10" spans="1:6" ht="45" customHeight="1" x14ac:dyDescent="0.2">
      <c r="A10" s="1">
        <v>5</v>
      </c>
      <c r="B10" s="1"/>
      <c r="C10" s="1"/>
      <c r="D10" s="1"/>
      <c r="E10" s="1"/>
      <c r="F10" s="1"/>
    </row>
    <row r="11" spans="1:6" ht="45" customHeight="1" x14ac:dyDescent="0.2">
      <c r="A11" s="1">
        <v>6</v>
      </c>
      <c r="B11" s="1"/>
      <c r="C11" s="1"/>
      <c r="D11" s="1"/>
      <c r="E11" s="1"/>
      <c r="F11" s="1"/>
    </row>
    <row r="12" spans="1:6" ht="45" customHeight="1" x14ac:dyDescent="0.2">
      <c r="A12" s="1">
        <v>7</v>
      </c>
      <c r="B12" s="1"/>
      <c r="C12" s="1"/>
      <c r="D12" s="1"/>
      <c r="E12" s="1"/>
      <c r="F12" s="1"/>
    </row>
    <row r="13" spans="1:6" ht="45" customHeight="1" x14ac:dyDescent="0.2">
      <c r="A13" s="1">
        <v>8</v>
      </c>
      <c r="B13" s="1"/>
      <c r="C13" s="1"/>
      <c r="D13" s="1"/>
      <c r="E13" s="1"/>
      <c r="F13" s="1"/>
    </row>
    <row r="14" spans="1:6" ht="45" customHeight="1" x14ac:dyDescent="0.2">
      <c r="A14" s="1">
        <v>9</v>
      </c>
      <c r="B14" s="1"/>
      <c r="C14" s="1"/>
      <c r="D14" s="1"/>
      <c r="E14" s="1"/>
      <c r="F14" s="1"/>
    </row>
    <row r="15" spans="1:6" ht="45" customHeight="1" x14ac:dyDescent="0.2">
      <c r="A15" s="1">
        <v>10</v>
      </c>
      <c r="B15" s="1"/>
      <c r="C15" s="1"/>
      <c r="D15" s="1"/>
      <c r="E15" s="1"/>
      <c r="F15" s="1"/>
    </row>
    <row r="16" spans="1:6" ht="45" customHeight="1" x14ac:dyDescent="0.2">
      <c r="A16" s="1">
        <v>11</v>
      </c>
      <c r="B16" s="1"/>
      <c r="C16" s="1"/>
      <c r="D16" s="1"/>
      <c r="E16" s="1"/>
      <c r="F16" s="1"/>
    </row>
    <row r="17" spans="1:6" ht="45" customHeight="1" x14ac:dyDescent="0.2">
      <c r="A17" s="1">
        <v>12</v>
      </c>
      <c r="B17" s="1"/>
      <c r="C17" s="1"/>
      <c r="D17" s="1"/>
      <c r="E17" s="1"/>
      <c r="F17" s="1"/>
    </row>
    <row r="18" spans="1:6" ht="45" customHeight="1" x14ac:dyDescent="0.2">
      <c r="A18" s="1">
        <v>13</v>
      </c>
      <c r="B18" s="1"/>
      <c r="C18" s="1"/>
      <c r="D18" s="1"/>
      <c r="E18" s="1"/>
      <c r="F18" s="1"/>
    </row>
    <row r="19" spans="1:6" ht="45" customHeight="1" x14ac:dyDescent="0.2">
      <c r="A19" s="1">
        <v>14</v>
      </c>
      <c r="B19" s="1"/>
      <c r="C19" s="1"/>
      <c r="D19" s="1"/>
      <c r="E19" s="1"/>
      <c r="F19" s="1"/>
    </row>
    <row r="20" spans="1:6" ht="45" customHeight="1" x14ac:dyDescent="0.2">
      <c r="A20" s="1">
        <v>15</v>
      </c>
      <c r="B20" s="1"/>
      <c r="C20" s="1"/>
      <c r="D20" s="1"/>
      <c r="E20" s="1"/>
      <c r="F20" s="1"/>
    </row>
    <row r="21" spans="1:6" ht="45" customHeight="1" x14ac:dyDescent="0.2">
      <c r="A21" s="1">
        <v>16</v>
      </c>
      <c r="B21" s="1"/>
      <c r="C21" s="1"/>
      <c r="D21" s="1"/>
      <c r="E21" s="1"/>
      <c r="F21" s="1"/>
    </row>
    <row r="22" spans="1:6" ht="45" customHeight="1" x14ac:dyDescent="0.2">
      <c r="A22" s="1">
        <v>17</v>
      </c>
      <c r="B22" s="1"/>
      <c r="C22" s="1"/>
      <c r="D22" s="1"/>
      <c r="E22" s="1"/>
      <c r="F22" s="1"/>
    </row>
    <row r="23" spans="1:6" ht="45" customHeight="1" x14ac:dyDescent="0.2">
      <c r="A23" s="1">
        <v>18</v>
      </c>
      <c r="B23" s="1"/>
      <c r="C23" s="1"/>
      <c r="D23" s="1"/>
      <c r="E23" s="1"/>
      <c r="F23" s="1"/>
    </row>
    <row r="24" spans="1:6" ht="45" customHeight="1" x14ac:dyDescent="0.2">
      <c r="A24" s="1">
        <v>19</v>
      </c>
      <c r="B24" s="1"/>
      <c r="C24" s="1"/>
      <c r="D24" s="1"/>
      <c r="E24" s="1"/>
      <c r="F24" s="1"/>
    </row>
    <row r="25" spans="1:6" ht="45" customHeight="1" x14ac:dyDescent="0.2">
      <c r="A25" s="1">
        <v>20</v>
      </c>
      <c r="B25" s="1"/>
      <c r="C25" s="1"/>
      <c r="D25" s="1"/>
      <c r="E25" s="1"/>
      <c r="F25" s="1"/>
    </row>
    <row r="26" spans="1:6" ht="45" customHeight="1" x14ac:dyDescent="0.2">
      <c r="A26" s="1">
        <v>21</v>
      </c>
      <c r="B26" s="1"/>
      <c r="C26" s="1"/>
      <c r="D26" s="1"/>
      <c r="E26" s="1"/>
      <c r="F26" s="1"/>
    </row>
    <row r="27" spans="1:6" ht="45" customHeight="1" x14ac:dyDescent="0.2">
      <c r="A27" s="1">
        <v>22</v>
      </c>
      <c r="B27" s="1"/>
      <c r="C27" s="1"/>
      <c r="D27" s="1"/>
      <c r="E27" s="1"/>
      <c r="F27" s="1"/>
    </row>
    <row r="28" spans="1:6" ht="45" customHeight="1" x14ac:dyDescent="0.2">
      <c r="A28" s="1">
        <v>23</v>
      </c>
      <c r="B28" s="1"/>
      <c r="C28" s="1"/>
      <c r="D28" s="1"/>
      <c r="E28" s="1"/>
      <c r="F28" s="1"/>
    </row>
    <row r="29" spans="1:6" ht="45" customHeight="1" x14ac:dyDescent="0.2">
      <c r="A29" s="1">
        <v>24</v>
      </c>
      <c r="B29" s="1"/>
      <c r="C29" s="1"/>
      <c r="D29" s="1"/>
      <c r="E29" s="1"/>
      <c r="F29" s="1"/>
    </row>
    <row r="30" spans="1:6" ht="45" customHeight="1" x14ac:dyDescent="0.2">
      <c r="A30" s="1">
        <v>25</v>
      </c>
      <c r="B30" s="1"/>
      <c r="C30" s="1"/>
      <c r="D30" s="1"/>
      <c r="E30" s="1"/>
      <c r="F30" s="1"/>
    </row>
    <row r="31" spans="1:6" ht="45" customHeight="1" x14ac:dyDescent="0.2">
      <c r="A31" s="1">
        <v>26</v>
      </c>
      <c r="B31" s="1"/>
      <c r="C31" s="1"/>
      <c r="D31" s="1"/>
      <c r="E31" s="1"/>
      <c r="F31" s="1"/>
    </row>
    <row r="32" spans="1:6" ht="45" customHeight="1" x14ac:dyDescent="0.2">
      <c r="A32" s="1">
        <v>27</v>
      </c>
      <c r="B32" s="1"/>
      <c r="C32" s="1"/>
      <c r="D32" s="1"/>
      <c r="E32" s="1"/>
      <c r="F32" s="1"/>
    </row>
    <row r="33" spans="1:6" ht="45" customHeight="1" x14ac:dyDescent="0.2">
      <c r="A33" s="1">
        <v>28</v>
      </c>
      <c r="B33" s="1"/>
      <c r="C33" s="1"/>
      <c r="D33" s="1"/>
      <c r="E33" s="1"/>
      <c r="F33" s="1"/>
    </row>
    <row r="34" spans="1:6" ht="45" customHeight="1" x14ac:dyDescent="0.2">
      <c r="A34" s="1">
        <v>29</v>
      </c>
      <c r="B34" s="1"/>
      <c r="C34" s="1"/>
      <c r="D34" s="1"/>
      <c r="E34" s="1"/>
      <c r="F34" s="1"/>
    </row>
    <row r="35" spans="1:6" ht="45" customHeight="1" x14ac:dyDescent="0.2">
      <c r="A35" s="1">
        <v>30</v>
      </c>
      <c r="B35" s="1"/>
      <c r="C35" s="1"/>
      <c r="D35" s="1"/>
      <c r="E35" s="1"/>
      <c r="F35" s="1"/>
    </row>
    <row r="36" spans="1:6" ht="45" customHeight="1" x14ac:dyDescent="0.2">
      <c r="A36" s="1">
        <v>31</v>
      </c>
      <c r="B36" s="1"/>
      <c r="C36" s="1"/>
      <c r="D36" s="1"/>
      <c r="E36" s="1"/>
      <c r="F36" s="1"/>
    </row>
    <row r="37" spans="1:6" ht="45" customHeight="1" x14ac:dyDescent="0.2">
      <c r="A37" s="1">
        <v>32</v>
      </c>
      <c r="B37" s="1"/>
      <c r="C37" s="1"/>
      <c r="D37" s="1"/>
      <c r="E37" s="1"/>
      <c r="F37" s="1"/>
    </row>
    <row r="38" spans="1:6" ht="45" customHeight="1" x14ac:dyDescent="0.2">
      <c r="A38" s="1">
        <v>33</v>
      </c>
      <c r="B38" s="1"/>
      <c r="C38" s="1"/>
      <c r="D38" s="1"/>
      <c r="E38" s="1"/>
      <c r="F38" s="1"/>
    </row>
    <row r="39" spans="1:6" ht="45" customHeight="1" x14ac:dyDescent="0.2">
      <c r="A39" s="1">
        <v>34</v>
      </c>
      <c r="B39" s="1"/>
      <c r="C39" s="1"/>
      <c r="D39" s="1"/>
      <c r="E39" s="1"/>
      <c r="F39" s="1"/>
    </row>
    <row r="40" spans="1:6" ht="45" customHeight="1" x14ac:dyDescent="0.2">
      <c r="A40" s="1">
        <v>35</v>
      </c>
      <c r="B40" s="1"/>
      <c r="C40" s="1"/>
      <c r="D40" s="1"/>
      <c r="E40" s="1"/>
      <c r="F40" s="1"/>
    </row>
    <row r="41" spans="1:6" ht="45" customHeight="1" x14ac:dyDescent="0.2">
      <c r="A41" s="1">
        <v>36</v>
      </c>
      <c r="B41" s="1"/>
      <c r="C41" s="1"/>
      <c r="D41" s="1"/>
      <c r="E41" s="1"/>
      <c r="F41" s="1"/>
    </row>
    <row r="42" spans="1:6" ht="45" customHeight="1" x14ac:dyDescent="0.2">
      <c r="A42" s="1">
        <v>37</v>
      </c>
      <c r="B42" s="1"/>
      <c r="C42" s="1"/>
      <c r="D42" s="1"/>
      <c r="E42" s="1"/>
      <c r="F42" s="1"/>
    </row>
    <row r="43" spans="1:6" ht="45" customHeight="1" x14ac:dyDescent="0.2">
      <c r="A43" s="1">
        <v>38</v>
      </c>
      <c r="B43" s="1"/>
      <c r="C43" s="1"/>
      <c r="D43" s="1"/>
      <c r="E43" s="1"/>
      <c r="F43" s="1"/>
    </row>
    <row r="44" spans="1:6" ht="45" customHeight="1" x14ac:dyDescent="0.2">
      <c r="A44" s="1">
        <v>39</v>
      </c>
      <c r="B44" s="1"/>
      <c r="C44" s="1"/>
      <c r="D44" s="1"/>
      <c r="E44" s="1"/>
      <c r="F44" s="1"/>
    </row>
    <row r="45" spans="1:6" ht="45" customHeight="1" x14ac:dyDescent="0.2">
      <c r="A45" s="1">
        <v>40</v>
      </c>
      <c r="B45" s="1"/>
      <c r="C45" s="1"/>
      <c r="D45" s="1"/>
      <c r="E45" s="1"/>
      <c r="F45" s="1"/>
    </row>
    <row r="46" spans="1:6" ht="45" customHeight="1" x14ac:dyDescent="0.2">
      <c r="A46" s="1">
        <v>41</v>
      </c>
      <c r="B46" s="1"/>
      <c r="C46" s="1"/>
      <c r="D46" s="1"/>
      <c r="E46" s="1"/>
      <c r="F46" s="1"/>
    </row>
    <row r="47" spans="1:6" ht="45" customHeight="1" x14ac:dyDescent="0.2">
      <c r="A47" s="1">
        <v>42</v>
      </c>
      <c r="B47" s="1"/>
      <c r="C47" s="1"/>
      <c r="D47" s="1"/>
      <c r="E47" s="1"/>
      <c r="F47" s="1"/>
    </row>
    <row r="48" spans="1:6" ht="45" customHeight="1" x14ac:dyDescent="0.2">
      <c r="A48" s="1">
        <v>43</v>
      </c>
      <c r="B48" s="1"/>
      <c r="C48" s="1"/>
      <c r="D48" s="1"/>
      <c r="E48" s="1"/>
      <c r="F48" s="1"/>
    </row>
    <row r="49" spans="1:6" ht="45" customHeight="1" x14ac:dyDescent="0.2">
      <c r="A49" s="1">
        <v>44</v>
      </c>
      <c r="B49" s="1"/>
      <c r="C49" s="1"/>
      <c r="D49" s="1"/>
      <c r="E49" s="1"/>
      <c r="F49" s="1"/>
    </row>
    <row r="50" spans="1:6" ht="45" customHeight="1" x14ac:dyDescent="0.2">
      <c r="A50" s="1">
        <v>45</v>
      </c>
      <c r="B50" s="1"/>
      <c r="C50" s="1"/>
      <c r="D50" s="1"/>
      <c r="E50" s="1"/>
      <c r="F50" s="1"/>
    </row>
    <row r="51" spans="1:6" ht="45" customHeight="1" x14ac:dyDescent="0.2">
      <c r="A51" s="1">
        <v>46</v>
      </c>
      <c r="B51" s="1"/>
      <c r="C51" s="1"/>
      <c r="D51" s="1"/>
      <c r="E51" s="1"/>
      <c r="F51" s="1"/>
    </row>
    <row r="52" spans="1:6" ht="45" customHeight="1" x14ac:dyDescent="0.2">
      <c r="A52" s="1">
        <v>47</v>
      </c>
      <c r="B52" s="1"/>
      <c r="C52" s="1"/>
      <c r="D52" s="1"/>
      <c r="E52" s="1"/>
      <c r="F52" s="1"/>
    </row>
    <row r="53" spans="1:6" ht="45" customHeight="1" x14ac:dyDescent="0.2">
      <c r="A53" s="1">
        <v>48</v>
      </c>
      <c r="B53" s="1"/>
      <c r="C53" s="1"/>
      <c r="D53" s="1"/>
      <c r="E53" s="1"/>
      <c r="F53" s="1"/>
    </row>
    <row r="54" spans="1:6" ht="45" customHeight="1" x14ac:dyDescent="0.2">
      <c r="A54" s="1">
        <v>49</v>
      </c>
      <c r="B54" s="1"/>
      <c r="C54" s="1"/>
      <c r="D54" s="1"/>
      <c r="E54" s="1"/>
      <c r="F54" s="1"/>
    </row>
    <row r="55" spans="1:6" ht="45" customHeight="1" x14ac:dyDescent="0.2">
      <c r="A55" s="1">
        <v>50</v>
      </c>
      <c r="B55" s="1"/>
      <c r="C55" s="1"/>
      <c r="D55" s="1"/>
      <c r="E55" s="1"/>
      <c r="F55" s="1"/>
    </row>
    <row r="56" spans="1:6" ht="45" customHeight="1" x14ac:dyDescent="0.2">
      <c r="A56" s="1">
        <v>51</v>
      </c>
      <c r="B56" s="1"/>
      <c r="C56" s="1"/>
      <c r="D56" s="1"/>
      <c r="E56" s="1"/>
      <c r="F56" s="1"/>
    </row>
    <row r="57" spans="1:6" ht="45" customHeight="1" x14ac:dyDescent="0.2">
      <c r="A57" s="1">
        <v>52</v>
      </c>
      <c r="B57" s="1"/>
      <c r="C57" s="1"/>
      <c r="D57" s="1"/>
      <c r="E57" s="1"/>
      <c r="F57" s="1"/>
    </row>
    <row r="58" spans="1:6" ht="45" customHeight="1" x14ac:dyDescent="0.2">
      <c r="A58" s="1">
        <v>53</v>
      </c>
      <c r="B58" s="1"/>
      <c r="C58" s="1"/>
      <c r="D58" s="1"/>
      <c r="E58" s="1"/>
      <c r="F58" s="1"/>
    </row>
    <row r="59" spans="1:6" ht="45" customHeight="1" x14ac:dyDescent="0.2">
      <c r="A59" s="1">
        <v>54</v>
      </c>
      <c r="B59" s="1"/>
      <c r="C59" s="1"/>
      <c r="D59" s="1"/>
      <c r="E59" s="1"/>
      <c r="F59" s="1"/>
    </row>
    <row r="60" spans="1:6" ht="45" customHeight="1" x14ac:dyDescent="0.2">
      <c r="A60" s="1">
        <v>55</v>
      </c>
      <c r="B60" s="1"/>
      <c r="C60" s="1"/>
      <c r="D60" s="1"/>
      <c r="E60" s="1"/>
      <c r="F60" s="1"/>
    </row>
    <row r="61" spans="1:6" ht="45" customHeight="1" x14ac:dyDescent="0.2">
      <c r="A61" s="1">
        <v>56</v>
      </c>
      <c r="B61" s="1"/>
      <c r="C61" s="1"/>
      <c r="D61" s="1"/>
      <c r="E61" s="1"/>
      <c r="F61" s="1"/>
    </row>
    <row r="62" spans="1:6" ht="45" customHeight="1" x14ac:dyDescent="0.2">
      <c r="A62" s="1">
        <v>57</v>
      </c>
      <c r="B62" s="1"/>
      <c r="C62" s="1"/>
      <c r="D62" s="1"/>
      <c r="E62" s="1"/>
      <c r="F62" s="1"/>
    </row>
    <row r="63" spans="1:6" ht="45" customHeight="1" x14ac:dyDescent="0.2">
      <c r="A63" s="1">
        <v>58</v>
      </c>
      <c r="B63" s="1"/>
      <c r="C63" s="1"/>
      <c r="D63" s="1"/>
      <c r="E63" s="1"/>
      <c r="F63" s="1"/>
    </row>
    <row r="64" spans="1:6" ht="45" customHeight="1" x14ac:dyDescent="0.2">
      <c r="A64" s="1">
        <v>59</v>
      </c>
      <c r="B64" s="1"/>
      <c r="C64" s="1"/>
      <c r="D64" s="1"/>
      <c r="E64" s="1"/>
      <c r="F64" s="1"/>
    </row>
    <row r="65" spans="1:6" ht="45" customHeight="1" x14ac:dyDescent="0.2">
      <c r="A65" s="1">
        <v>60</v>
      </c>
      <c r="B65" s="1"/>
      <c r="C65" s="1"/>
      <c r="D65" s="1"/>
      <c r="E65" s="1"/>
      <c r="F65" s="1"/>
    </row>
    <row r="66" spans="1:6" ht="45" customHeight="1" x14ac:dyDescent="0.2">
      <c r="A66" s="1">
        <v>61</v>
      </c>
      <c r="B66" s="1"/>
      <c r="C66" s="1"/>
      <c r="D66" s="1"/>
      <c r="E66" s="1"/>
      <c r="F66" s="1"/>
    </row>
    <row r="67" spans="1:6" ht="45" customHeight="1" x14ac:dyDescent="0.2">
      <c r="A67" s="1">
        <v>62</v>
      </c>
      <c r="B67" s="1"/>
      <c r="C67" s="1"/>
      <c r="D67" s="1"/>
      <c r="E67" s="1"/>
      <c r="F67" s="1"/>
    </row>
    <row r="68" spans="1:6" ht="45" customHeight="1" x14ac:dyDescent="0.2">
      <c r="A68" s="1">
        <v>63</v>
      </c>
      <c r="B68" s="1"/>
      <c r="C68" s="1"/>
      <c r="D68" s="1"/>
      <c r="E68" s="1"/>
      <c r="F68" s="1"/>
    </row>
    <row r="69" spans="1:6" ht="45" customHeight="1" x14ac:dyDescent="0.2">
      <c r="A69" s="1">
        <v>64</v>
      </c>
      <c r="B69" s="1"/>
      <c r="C69" s="1"/>
      <c r="D69" s="1"/>
      <c r="E69" s="1"/>
      <c r="F69" s="1"/>
    </row>
    <row r="70" spans="1:6" ht="45" customHeight="1" x14ac:dyDescent="0.2">
      <c r="A70" s="1">
        <v>65</v>
      </c>
      <c r="B70" s="1"/>
      <c r="C70" s="1"/>
      <c r="D70" s="1"/>
      <c r="E70" s="1"/>
      <c r="F70" s="1"/>
    </row>
  </sheetData>
  <mergeCells count="6">
    <mergeCell ref="A3:D3"/>
    <mergeCell ref="A4:D4"/>
    <mergeCell ref="E3:F3"/>
    <mergeCell ref="E4:F4"/>
    <mergeCell ref="A1:F1"/>
    <mergeCell ref="A2:F2"/>
  </mergeCells>
  <pageMargins left="0.7" right="0.7" top="0.75" bottom="0.75" header="0.3" footer="0.3"/>
  <pageSetup paperSize="9" scale="94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Support</vt:lpstr>
      <vt:lpstr>Year 2025 - 26</vt:lpstr>
      <vt:lpstr>Service Report</vt:lpstr>
      <vt:lpstr>Log Card</vt:lpstr>
      <vt:lpstr>'Log Card'!Print_Area</vt:lpstr>
      <vt:lpstr>'Service Report'!Print_Area</vt:lpstr>
      <vt:lpstr>'Year 2025 - 26'!Print_Area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2025-10-05T13:41:49Z</cp:lastPrinted>
  <dcterms:created xsi:type="dcterms:W3CDTF">2006-09-16T00:00:00Z</dcterms:created>
  <dcterms:modified xsi:type="dcterms:W3CDTF">2025-10-05T14:37:49Z</dcterms:modified>
</cp:coreProperties>
</file>